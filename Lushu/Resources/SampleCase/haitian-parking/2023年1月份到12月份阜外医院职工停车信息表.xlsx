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汇总" sheetId="1" r:id="rId1"/>
    <sheet name="2023年1月份" sheetId="2" r:id="rId2"/>
    <sheet name="2023年2月份" sheetId="3" r:id="rId3"/>
    <sheet name="2023年3月份" sheetId="4" r:id="rId4"/>
    <sheet name="2023年4月份" sheetId="5" r:id="rId5"/>
    <sheet name="2023年5月份" sheetId="6" r:id="rId6"/>
    <sheet name="2023年6月份" sheetId="7" r:id="rId7"/>
    <sheet name="2023年7月份" sheetId="8" r:id="rId8"/>
    <sheet name="2023年8月份" sheetId="9" r:id="rId9"/>
    <sheet name="2023年9月份" sheetId="10" r:id="rId10"/>
    <sheet name="2023年10月份" sheetId="11" r:id="rId11"/>
    <sheet name="2023年11月份" sheetId="12" r:id="rId12"/>
    <sheet name="2023年12月份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<sst xmlns="http://schemas.openxmlformats.org/spreadsheetml/2006/main" count="767" uniqueCount="375">
  <si>
    <t>阜外华中心血管病医院职工</t>
  </si>
  <si>
    <t>2023年汇总</t>
  </si>
  <si>
    <t>2023年度地下停车场停车收费明细</t>
  </si>
  <si>
    <t>序号</t>
  </si>
  <si>
    <t>月份</t>
  </si>
  <si>
    <t>金额</t>
  </si>
  <si>
    <t>进场车次</t>
  </si>
  <si>
    <t>电费金额</t>
  </si>
  <si>
    <t>管理费金额（年）</t>
  </si>
  <si>
    <t>汇总</t>
  </si>
  <si>
    <t>2023年第一季度小计</t>
  </si>
  <si>
    <t>2023年第二季度小计</t>
  </si>
  <si>
    <t>2023年第三季度小计</t>
  </si>
  <si>
    <t>2023年第四季度小计</t>
  </si>
  <si>
    <t>2023年度合计</t>
  </si>
  <si>
    <t>2023年阜外华中心血管病医院职工1月份地下停车场停车记录</t>
  </si>
  <si>
    <t>日期</t>
  </si>
  <si>
    <t>进场车单次</t>
  </si>
  <si>
    <t>出场车单次</t>
  </si>
  <si>
    <t>计费车次</t>
  </si>
  <si>
    <t>停留车辆</t>
  </si>
  <si>
    <t>费用（3元/天）</t>
  </si>
  <si>
    <t>总计（元）</t>
  </si>
  <si>
    <t>共计</t>
  </si>
  <si>
    <t>2023年阜外华中心血管病医院职工2月份地下停车场停车记录</t>
  </si>
  <si>
    <t>2023年阜外华中心血管病医院职工3月份地下停车场停车记录</t>
  </si>
  <si>
    <t>车次总计（元）</t>
  </si>
  <si>
    <t>时间/停留车辆/费用</t>
  </si>
  <si>
    <t>停留车辆总计（元）</t>
  </si>
  <si>
    <t>2023.3.1</t>
  </si>
  <si>
    <t>1天</t>
  </si>
  <si>
    <t>2023.3.2</t>
  </si>
  <si>
    <t>2天</t>
  </si>
  <si>
    <t>2023.3.3</t>
  </si>
  <si>
    <t>3天</t>
  </si>
  <si>
    <t>2023.3.4</t>
  </si>
  <si>
    <t>4天</t>
  </si>
  <si>
    <t>2023.3.5</t>
  </si>
  <si>
    <t>5天</t>
  </si>
  <si>
    <t>2023.3.6</t>
  </si>
  <si>
    <t>6天</t>
  </si>
  <si>
    <t>2023.3.7</t>
  </si>
  <si>
    <t>7天</t>
  </si>
  <si>
    <t>2023.3.8</t>
  </si>
  <si>
    <t>8天</t>
  </si>
  <si>
    <t>2023.3.9</t>
  </si>
  <si>
    <t>9天</t>
  </si>
  <si>
    <t>2023.3.10</t>
  </si>
  <si>
    <t>10天</t>
  </si>
  <si>
    <t>2023.3.11</t>
  </si>
  <si>
    <t>11天</t>
  </si>
  <si>
    <t>2023.3.12</t>
  </si>
  <si>
    <t>12天</t>
  </si>
  <si>
    <t>2023.3.13</t>
  </si>
  <si>
    <t>13天</t>
  </si>
  <si>
    <t>2023.3.14</t>
  </si>
  <si>
    <t>14天</t>
  </si>
  <si>
    <t>2023.3.15</t>
  </si>
  <si>
    <t>15天</t>
  </si>
  <si>
    <t>2023.3.16</t>
  </si>
  <si>
    <t>16天</t>
  </si>
  <si>
    <t>2023.3.17</t>
  </si>
  <si>
    <t>17天</t>
  </si>
  <si>
    <t>2023.3.18</t>
  </si>
  <si>
    <t>18天</t>
  </si>
  <si>
    <t>2023.3.19</t>
  </si>
  <si>
    <t>19天</t>
  </si>
  <si>
    <t>2023.3.20</t>
  </si>
  <si>
    <t>20天</t>
  </si>
  <si>
    <t>2023.3.21</t>
  </si>
  <si>
    <t>21天</t>
  </si>
  <si>
    <t>2023.3.22</t>
  </si>
  <si>
    <t>22天</t>
  </si>
  <si>
    <t>2023.3.23</t>
  </si>
  <si>
    <t>23天</t>
  </si>
  <si>
    <t>2023.3.24</t>
  </si>
  <si>
    <t>24天</t>
  </si>
  <si>
    <t>2023.3.25</t>
  </si>
  <si>
    <t>25天</t>
  </si>
  <si>
    <t>2023.3.26</t>
  </si>
  <si>
    <t>26天</t>
  </si>
  <si>
    <t>2023.3.27</t>
  </si>
  <si>
    <t>27天</t>
  </si>
  <si>
    <t>2023.3.28</t>
  </si>
  <si>
    <t>28天</t>
  </si>
  <si>
    <t>2023.3.29</t>
  </si>
  <si>
    <t>29天</t>
  </si>
  <si>
    <t>2023.3.30</t>
  </si>
  <si>
    <t>30天</t>
  </si>
  <si>
    <t>2023.3.31</t>
  </si>
  <si>
    <t>31天</t>
  </si>
  <si>
    <t>2023年阜外华中心血管病医院职工4月份地下停车场停车记录</t>
  </si>
  <si>
    <t>2023.4.1</t>
  </si>
  <si>
    <t>2023.4.2</t>
  </si>
  <si>
    <t>2023.4.3</t>
  </si>
  <si>
    <t>2023.4.4</t>
  </si>
  <si>
    <t>2023.4.5</t>
  </si>
  <si>
    <t>2023.4.6</t>
  </si>
  <si>
    <t>2023.4.7</t>
  </si>
  <si>
    <t>2023.4.8</t>
  </si>
  <si>
    <t>2023.4.9</t>
  </si>
  <si>
    <t>2023.4.10</t>
  </si>
  <si>
    <t>2023.4.11</t>
  </si>
  <si>
    <t>2023.4.12</t>
  </si>
  <si>
    <t>2023.4.13</t>
  </si>
  <si>
    <t>2023.4.14</t>
  </si>
  <si>
    <t>2023.4.15</t>
  </si>
  <si>
    <t>2023.4.16</t>
  </si>
  <si>
    <t>2023.4.17</t>
  </si>
  <si>
    <t>2023.4.18</t>
  </si>
  <si>
    <t>2023.4.19</t>
  </si>
  <si>
    <t>2023.4.20</t>
  </si>
  <si>
    <t>2023.4.21</t>
  </si>
  <si>
    <t>2023.4.22</t>
  </si>
  <si>
    <t>2023.4.23</t>
  </si>
  <si>
    <t>2023.4.24</t>
  </si>
  <si>
    <t>2023.4.25</t>
  </si>
  <si>
    <t>2023.4.26</t>
  </si>
  <si>
    <t>2023.4.27</t>
  </si>
  <si>
    <t>2023.4.28</t>
  </si>
  <si>
    <t>2023.4.29</t>
  </si>
  <si>
    <t>2023.4.30</t>
  </si>
  <si>
    <t>2023年阜外华中心血管病医院职工5月份地下停车场停车记录</t>
  </si>
  <si>
    <t>2023.5.1</t>
  </si>
  <si>
    <t>2023.5.2</t>
  </si>
  <si>
    <t>2023.5.3</t>
  </si>
  <si>
    <t>2023.5.4</t>
  </si>
  <si>
    <t>2023.5.5</t>
  </si>
  <si>
    <t>2023.5.6</t>
  </si>
  <si>
    <t>2023.5.7</t>
  </si>
  <si>
    <t>2023.5.8</t>
  </si>
  <si>
    <t>2023.5.9</t>
  </si>
  <si>
    <t>2023.5.10</t>
  </si>
  <si>
    <t>2023.5.11</t>
  </si>
  <si>
    <t>2023.5.12</t>
  </si>
  <si>
    <t>2023.5.13</t>
  </si>
  <si>
    <t>2023.5.14</t>
  </si>
  <si>
    <t>2023.5.15</t>
  </si>
  <si>
    <t>2023.5.16</t>
  </si>
  <si>
    <t>2023.5.17</t>
  </si>
  <si>
    <t>2023.5.18</t>
  </si>
  <si>
    <t>2023.5.19</t>
  </si>
  <si>
    <t>2023.5.20</t>
  </si>
  <si>
    <t>2023.5.21</t>
  </si>
  <si>
    <t>2023.5.22</t>
  </si>
  <si>
    <t>2023.5.23</t>
  </si>
  <si>
    <t>2023.5.24</t>
  </si>
  <si>
    <t>2023.5.25</t>
  </si>
  <si>
    <t>2023.5.26</t>
  </si>
  <si>
    <t>2023.5.27</t>
  </si>
  <si>
    <t>2023.5.28</t>
  </si>
  <si>
    <t>2023.5.29</t>
  </si>
  <si>
    <t>2023.5.30</t>
  </si>
  <si>
    <t>2023.5.31</t>
  </si>
  <si>
    <t>2023年阜外华中心血管病医院职工6月份地下停车场停车记录</t>
  </si>
  <si>
    <t>2023.6.1</t>
  </si>
  <si>
    <t>2023.6.2</t>
  </si>
  <si>
    <t>2023.6.3</t>
  </si>
  <si>
    <t>2023.6.4</t>
  </si>
  <si>
    <t>2023.6.5</t>
  </si>
  <si>
    <t>2023.6.6</t>
  </si>
  <si>
    <t>2023.6.7</t>
  </si>
  <si>
    <t>2023.6.8</t>
  </si>
  <si>
    <t>2023.6.9</t>
  </si>
  <si>
    <t>2023.6.10</t>
  </si>
  <si>
    <t>2023.6.11</t>
  </si>
  <si>
    <t>2023.6.12</t>
  </si>
  <si>
    <t>2023.6.13</t>
  </si>
  <si>
    <t>2023.6.14</t>
  </si>
  <si>
    <t>2023.6.15</t>
  </si>
  <si>
    <t>2023.6.16</t>
  </si>
  <si>
    <t>2023.6.17</t>
  </si>
  <si>
    <t>2023.6.18</t>
  </si>
  <si>
    <t>2023.6.19</t>
  </si>
  <si>
    <t>2023.6.20</t>
  </si>
  <si>
    <t>2023.6.21</t>
  </si>
  <si>
    <t>2023.6.22</t>
  </si>
  <si>
    <t>2023.6.23</t>
  </si>
  <si>
    <t>2023.6.24</t>
  </si>
  <si>
    <t>2023.6.25</t>
  </si>
  <si>
    <t>2023.6.26</t>
  </si>
  <si>
    <t>2023.6.27</t>
  </si>
  <si>
    <t>2023.6.28</t>
  </si>
  <si>
    <t>2023.6.29</t>
  </si>
  <si>
    <t>2023.6.30</t>
  </si>
  <si>
    <t>2023年阜外华中心血管病医院职工7月份地下停车场停车记录</t>
  </si>
  <si>
    <t>2023.7.1</t>
  </si>
  <si>
    <t>2023.7.2</t>
  </si>
  <si>
    <t>2023.7.3</t>
  </si>
  <si>
    <t>2023.7.4</t>
  </si>
  <si>
    <t>2023.7.5</t>
  </si>
  <si>
    <t>2023.7.6</t>
  </si>
  <si>
    <t>2023.7.7</t>
  </si>
  <si>
    <t>2023.7.8</t>
  </si>
  <si>
    <t>2023.7.9</t>
  </si>
  <si>
    <t>2023.7.10</t>
  </si>
  <si>
    <t>2023.7.11</t>
  </si>
  <si>
    <t>2023.7.12</t>
  </si>
  <si>
    <t>2023.7.13</t>
  </si>
  <si>
    <t>2023.7.14</t>
  </si>
  <si>
    <t>2023.7.15</t>
  </si>
  <si>
    <t>2023.7.16</t>
  </si>
  <si>
    <t>2023.7.17</t>
  </si>
  <si>
    <t>2023.7.18</t>
  </si>
  <si>
    <t>2023.7.19</t>
  </si>
  <si>
    <t>2023.7.20</t>
  </si>
  <si>
    <t>2023.7.21</t>
  </si>
  <si>
    <t>2023.7.22</t>
  </si>
  <si>
    <t>2023.7.23</t>
  </si>
  <si>
    <t>2023.7.24</t>
  </si>
  <si>
    <t>2023.7.25</t>
  </si>
  <si>
    <t>2023.7.26</t>
  </si>
  <si>
    <t>2023.7.27</t>
  </si>
  <si>
    <t>2023.7.28</t>
  </si>
  <si>
    <t>2023.7.29</t>
  </si>
  <si>
    <t>2023.7.30</t>
  </si>
  <si>
    <t>2023.7.31</t>
  </si>
  <si>
    <t>2023年阜外华中心血管病医院职工8月份地下停车场停车记录</t>
  </si>
  <si>
    <t>2023.8.1</t>
  </si>
  <si>
    <t>2023.8.2</t>
  </si>
  <si>
    <t>2023.8.3</t>
  </si>
  <si>
    <t>2023.8.4</t>
  </si>
  <si>
    <t>2023.8.5</t>
  </si>
  <si>
    <t>2023.8.6</t>
  </si>
  <si>
    <t>2023.8.7</t>
  </si>
  <si>
    <t>2023.8.8</t>
  </si>
  <si>
    <t>2023.8.9</t>
  </si>
  <si>
    <t>2023.8.10</t>
  </si>
  <si>
    <t>2023.8.11</t>
  </si>
  <si>
    <t>2023.8.12</t>
  </si>
  <si>
    <t>2023.8.13</t>
  </si>
  <si>
    <t>2023.8.14</t>
  </si>
  <si>
    <t>2023.8.15</t>
  </si>
  <si>
    <t>2023.8.16</t>
  </si>
  <si>
    <t>2023.8.17</t>
  </si>
  <si>
    <t>2023.8.18</t>
  </si>
  <si>
    <t>2023.8.19</t>
  </si>
  <si>
    <t>2023.8.20</t>
  </si>
  <si>
    <t>2023.8.21</t>
  </si>
  <si>
    <t>2023.8.22</t>
  </si>
  <si>
    <t>2023.8.23</t>
  </si>
  <si>
    <t>2023.8.24</t>
  </si>
  <si>
    <t>2023.8.25</t>
  </si>
  <si>
    <t>2023.8.26</t>
  </si>
  <si>
    <t>2023.8.27</t>
  </si>
  <si>
    <t>2023.8.28</t>
  </si>
  <si>
    <t>2023.8.29</t>
  </si>
  <si>
    <t>2023.8.30</t>
  </si>
  <si>
    <t>2023.8.31</t>
  </si>
  <si>
    <t>2023年阜外华中心血管病医院职工9月份地下停车场停车记录</t>
  </si>
  <si>
    <t>2023.9.1</t>
  </si>
  <si>
    <t>2023.9.2</t>
  </si>
  <si>
    <t>2023.9.3</t>
  </si>
  <si>
    <t>2023.9.4</t>
  </si>
  <si>
    <t>2023.9.5</t>
  </si>
  <si>
    <t>2023.9.6</t>
  </si>
  <si>
    <t>2023.9.7</t>
  </si>
  <si>
    <t>2023.9.8</t>
  </si>
  <si>
    <t>2023.9.9</t>
  </si>
  <si>
    <t>2023.9.10</t>
  </si>
  <si>
    <t>2023.9.11</t>
  </si>
  <si>
    <t>2023.9.12</t>
  </si>
  <si>
    <t>2023.9.13</t>
  </si>
  <si>
    <t>2023.9.14</t>
  </si>
  <si>
    <t>2023.9.15</t>
  </si>
  <si>
    <t>2023.9.16</t>
  </si>
  <si>
    <t>2023.9.17</t>
  </si>
  <si>
    <t>2023.9.18</t>
  </si>
  <si>
    <t>2023.9.19</t>
  </si>
  <si>
    <t>2023.9.20</t>
  </si>
  <si>
    <t>2023.9.21</t>
  </si>
  <si>
    <t>2023.9.22</t>
  </si>
  <si>
    <t>2023.9.23</t>
  </si>
  <si>
    <t>2023.9.24</t>
  </si>
  <si>
    <t>2023.9.25</t>
  </si>
  <si>
    <t>2023.9.26</t>
  </si>
  <si>
    <t>2023.9.27</t>
  </si>
  <si>
    <t>2023.9.28</t>
  </si>
  <si>
    <t>2023.9.29</t>
  </si>
  <si>
    <t>2023.9.30</t>
  </si>
  <si>
    <t>2023年阜外华中心血管病医院职工10月份地下停车场停车记录</t>
  </si>
  <si>
    <t>2023.10.1</t>
  </si>
  <si>
    <t>2023.10.2</t>
  </si>
  <si>
    <t>2023.10.3</t>
  </si>
  <si>
    <t>2023.10.4</t>
  </si>
  <si>
    <t>2023.10.5</t>
  </si>
  <si>
    <t>2023.10.6</t>
  </si>
  <si>
    <t>2023.10.7</t>
  </si>
  <si>
    <t>2023.10.8</t>
  </si>
  <si>
    <t>2023.10.9</t>
  </si>
  <si>
    <t>2023.10.10</t>
  </si>
  <si>
    <t>2023.10.11</t>
  </si>
  <si>
    <t>2023.10.12</t>
  </si>
  <si>
    <t>2023.10.13</t>
  </si>
  <si>
    <t>2023.10.14</t>
  </si>
  <si>
    <t>2023.10.15</t>
  </si>
  <si>
    <t>2023.10.16</t>
  </si>
  <si>
    <t>2023.10.17</t>
  </si>
  <si>
    <t>2023.10.18</t>
  </si>
  <si>
    <t>2023.10.19</t>
  </si>
  <si>
    <t>2023.10.20</t>
  </si>
  <si>
    <t>2023.10.21</t>
  </si>
  <si>
    <t>2023.10.22</t>
  </si>
  <si>
    <t>2023.10.23</t>
  </si>
  <si>
    <t>2023.10.24</t>
  </si>
  <si>
    <t>2023.10.25</t>
  </si>
  <si>
    <t>2023.10.26</t>
  </si>
  <si>
    <t>2023.10.27</t>
  </si>
  <si>
    <t>2023.10.28</t>
  </si>
  <si>
    <t>2023.10.29</t>
  </si>
  <si>
    <t>2023.10.30</t>
  </si>
  <si>
    <t>2023.10.31</t>
  </si>
  <si>
    <t>2023年阜外华中心血管病医院职工11月份地下停车场停车记录</t>
  </si>
  <si>
    <t>2023.11.1</t>
  </si>
  <si>
    <t>2023.11.2</t>
  </si>
  <si>
    <t>2023.11.3</t>
  </si>
  <si>
    <t>2023.11.4</t>
  </si>
  <si>
    <t>2023.11.5</t>
  </si>
  <si>
    <t>2023.11.6</t>
  </si>
  <si>
    <t>2023.11.7</t>
  </si>
  <si>
    <t>2023.11.8</t>
  </si>
  <si>
    <t>2023.11.9</t>
  </si>
  <si>
    <t>2023.11.10</t>
  </si>
  <si>
    <t>2023.11.11</t>
  </si>
  <si>
    <t>2023.11.12</t>
  </si>
  <si>
    <t>2023.11.13</t>
  </si>
  <si>
    <t>2023.11.14</t>
  </si>
  <si>
    <t>2023.11.15</t>
  </si>
  <si>
    <t>2023.11.16</t>
  </si>
  <si>
    <t>2023.11.17</t>
  </si>
  <si>
    <t>2023.11.18</t>
  </si>
  <si>
    <t>2023.11.19</t>
  </si>
  <si>
    <t>2023.11.20</t>
  </si>
  <si>
    <t>2023.11.21</t>
  </si>
  <si>
    <t>2023.11.22</t>
  </si>
  <si>
    <t>2023.11.23</t>
  </si>
  <si>
    <t>2023.11.24</t>
  </si>
  <si>
    <t>2023.11.25</t>
  </si>
  <si>
    <t>2023.11.26</t>
  </si>
  <si>
    <t>2023.11.27</t>
  </si>
  <si>
    <t>2023.11.28</t>
  </si>
  <si>
    <t>2023.11.29</t>
  </si>
  <si>
    <t>2023.11.30</t>
  </si>
  <si>
    <t>2023年阜外华中心血管病医院职工12月份地下停车场停车记录</t>
  </si>
  <si>
    <t>2023.12.1</t>
  </si>
  <si>
    <t>2023.12.2</t>
  </si>
  <si>
    <t>2023.12.3</t>
  </si>
  <si>
    <t>2023.12.4</t>
  </si>
  <si>
    <t>2023.12.5</t>
  </si>
  <si>
    <t>2023.12.6</t>
  </si>
  <si>
    <t>2023.12.7</t>
  </si>
  <si>
    <t>2023.12.8</t>
  </si>
  <si>
    <t>2023.12.9</t>
  </si>
  <si>
    <t>2023.12.10</t>
  </si>
  <si>
    <t>2023.12.11</t>
  </si>
  <si>
    <t>2023.12.12</t>
  </si>
  <si>
    <t>2023.12.13</t>
  </si>
  <si>
    <t>2023.12.14</t>
  </si>
  <si>
    <t>2023.12.15</t>
  </si>
  <si>
    <t>2023.12.16</t>
  </si>
  <si>
    <t>2023.12.17</t>
  </si>
  <si>
    <t>2023.12.18</t>
  </si>
  <si>
    <t>2023.12.19</t>
  </si>
  <si>
    <t>2023.12.20</t>
  </si>
  <si>
    <t>2023.12.21</t>
  </si>
  <si>
    <t>2023.12.22</t>
  </si>
  <si>
    <t>2023.12.23</t>
  </si>
  <si>
    <t>2023.12.24</t>
  </si>
  <si>
    <t>2023.12.25</t>
  </si>
  <si>
    <t>2023.12.26</t>
  </si>
  <si>
    <t>2023.12.27</t>
  </si>
  <si>
    <t>2023.12.28</t>
  </si>
  <si>
    <t>2023.12.29</t>
  </si>
  <si>
    <t>2023.12.30</t>
  </si>
  <si>
    <t>2023.12.31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</si>
</sst>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0.00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3" xfId="0" applyFon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7" fontId="6" fillId="0" borderId="3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57" fontId="8" fillId="0" borderId="3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57" fontId="5" fillId="0" borderId="3" xfId="0" applyNumberFormat="1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4" sqref="F4:F20"/>
    </sheetView>
  </sheetViews>
  <sheetFormatPr defaultColWidth="28.625" defaultRowHeight="27" customHeight="1" outlineLevelCol="6"/>
  <cols>
    <col min="1" max="1" width="17.75" customWidth="1"/>
    <col min="2" max="2" width="33.5" customWidth="1"/>
    <col min="3" max="3" width="37.125" customWidth="1"/>
    <col min="4" max="4" width="28.625" style="35" customWidth="1"/>
    <col min="5" max="16384" width="28.625" customWidth="1"/>
  </cols>
  <sheetData>
    <row r="1" customHeight="1" spans="1:7">
      <c r="A1" s="36" t="s">
        <v>0</v>
      </c>
      <c r="B1" s="36"/>
      <c r="C1" s="36"/>
      <c r="D1" s="37" t="s">
        <v>1</v>
      </c>
      <c r="E1" s="38"/>
      <c r="F1" s="38"/>
      <c r="G1" s="39"/>
    </row>
    <row r="2" customHeight="1" spans="1:7">
      <c r="A2" s="40" t="s">
        <v>2</v>
      </c>
      <c r="B2" s="40"/>
      <c r="C2" s="40"/>
      <c r="D2" s="41"/>
      <c r="E2" s="42"/>
      <c r="F2" s="42"/>
      <c r="G2" s="43"/>
    </row>
    <row r="3" customHeight="1" spans="1:7">
      <c r="A3" s="44" t="s">
        <v>3</v>
      </c>
      <c r="B3" s="44" t="s">
        <v>4</v>
      </c>
      <c r="C3" s="44" t="s">
        <v>5</v>
      </c>
      <c r="D3" s="45" t="s">
        <v>6</v>
      </c>
      <c r="E3" s="20" t="s">
        <v>7</v>
      </c>
      <c r="F3" s="20" t="s">
        <v>8</v>
      </c>
      <c r="G3" s="20" t="s">
        <v>9</v>
      </c>
    </row>
    <row r="4" customHeight="1" spans="1:7">
      <c r="A4" s="46">
        <v>1</v>
      </c>
      <c r="B4" s="47">
        <v>44927</v>
      </c>
      <c r="C4" s="48">
        <v>50583</v>
      </c>
      <c r="D4" s="49">
        <v>15206</v>
      </c>
      <c r="E4" s="50">
        <v>78836</v>
      </c>
      <c r="F4" s="22">
        <v>266666.67</v>
      </c>
      <c r="G4" s="22">
        <f>C20-E4-F4-E12</f>
        <v>284402.33</v>
      </c>
    </row>
    <row r="5" customHeight="1" spans="1:7">
      <c r="A5" s="46">
        <v>2</v>
      </c>
      <c r="B5" s="47">
        <v>44958</v>
      </c>
      <c r="C5" s="51">
        <v>50547</v>
      </c>
      <c r="D5" s="49">
        <v>16077</v>
      </c>
      <c r="E5" s="52"/>
      <c r="F5" s="53"/>
      <c r="G5" s="53"/>
    </row>
    <row r="6" customHeight="1" spans="1:7">
      <c r="A6" s="46">
        <v>3</v>
      </c>
      <c r="B6" s="47">
        <v>44986</v>
      </c>
      <c r="C6" s="51">
        <v>68196</v>
      </c>
      <c r="D6" s="49">
        <v>18032</v>
      </c>
      <c r="E6" s="52"/>
      <c r="F6" s="53"/>
      <c r="G6" s="53"/>
    </row>
    <row r="7" customHeight="1" spans="1:7">
      <c r="A7" s="46">
        <v>4</v>
      </c>
      <c r="B7" s="54" t="s">
        <v>10</v>
      </c>
      <c r="C7" s="55">
        <f>C4+C5+C6</f>
        <v>169326</v>
      </c>
      <c r="D7" s="49">
        <f>D4+D5+D6</f>
        <v>49315</v>
      </c>
      <c r="E7" s="52"/>
      <c r="F7" s="53"/>
      <c r="G7" s="53"/>
    </row>
    <row r="8" customHeight="1" spans="1:7">
      <c r="A8" s="46">
        <v>5</v>
      </c>
      <c r="B8" s="47">
        <v>45017</v>
      </c>
      <c r="C8" s="51">
        <v>61902</v>
      </c>
      <c r="D8" s="49">
        <v>16303</v>
      </c>
      <c r="E8" s="52"/>
      <c r="F8" s="53"/>
      <c r="G8" s="53"/>
    </row>
    <row r="9" customHeight="1" spans="1:7">
      <c r="A9" s="46">
        <v>6</v>
      </c>
      <c r="B9" s="47">
        <v>45047</v>
      </c>
      <c r="C9" s="51">
        <v>64008</v>
      </c>
      <c r="D9" s="49">
        <v>17040</v>
      </c>
      <c r="E9" s="52"/>
      <c r="F9" s="53"/>
      <c r="G9" s="53"/>
    </row>
    <row r="10" customHeight="1" spans="1:7">
      <c r="A10" s="46">
        <v>7</v>
      </c>
      <c r="B10" s="47">
        <v>45078</v>
      </c>
      <c r="C10" s="51">
        <v>61818</v>
      </c>
      <c r="D10" s="49">
        <v>16754</v>
      </c>
      <c r="E10" s="52"/>
      <c r="F10" s="53"/>
      <c r="G10" s="53"/>
    </row>
    <row r="11" customHeight="1" spans="1:7">
      <c r="A11" s="46">
        <v>8</v>
      </c>
      <c r="B11" s="54" t="s">
        <v>11</v>
      </c>
      <c r="C11" s="55">
        <f>C8+C9+C10</f>
        <v>187728</v>
      </c>
      <c r="D11" s="49">
        <f>D8+D9+D10</f>
        <v>50097</v>
      </c>
      <c r="E11" s="52"/>
      <c r="F11" s="53"/>
      <c r="G11" s="53"/>
    </row>
    <row r="12" customHeight="1" spans="1:7">
      <c r="A12" s="46">
        <v>9</v>
      </c>
      <c r="B12" s="47">
        <v>45108</v>
      </c>
      <c r="C12" s="51">
        <v>65214</v>
      </c>
      <c r="D12" s="45">
        <v>17349</v>
      </c>
      <c r="E12" s="56">
        <v>121445</v>
      </c>
      <c r="F12" s="53"/>
      <c r="G12" s="53"/>
    </row>
    <row r="13" customHeight="1" spans="1:7">
      <c r="A13" s="46">
        <v>10</v>
      </c>
      <c r="B13" s="47">
        <v>45139</v>
      </c>
      <c r="C13" s="51">
        <v>66402</v>
      </c>
      <c r="D13" s="45">
        <v>17780</v>
      </c>
      <c r="E13" s="53"/>
      <c r="F13" s="53"/>
      <c r="G13" s="53"/>
    </row>
    <row r="14" customHeight="1" spans="1:7">
      <c r="A14" s="46">
        <v>11</v>
      </c>
      <c r="B14" s="47">
        <v>45170</v>
      </c>
      <c r="C14" s="51">
        <v>61044</v>
      </c>
      <c r="D14" s="5">
        <v>16337</v>
      </c>
      <c r="E14" s="53"/>
      <c r="F14" s="53"/>
      <c r="G14" s="53"/>
    </row>
    <row r="15" customHeight="1" spans="1:7">
      <c r="A15" s="46">
        <v>12</v>
      </c>
      <c r="B15" s="54" t="s">
        <v>12</v>
      </c>
      <c r="C15" s="55">
        <f>C12+C13+C14</f>
        <v>192660</v>
      </c>
      <c r="D15" s="45">
        <f>D12+D13+D14</f>
        <v>51466</v>
      </c>
      <c r="E15" s="53"/>
      <c r="F15" s="53"/>
      <c r="G15" s="53"/>
    </row>
    <row r="16" customHeight="1" spans="1:7">
      <c r="A16" s="46">
        <v>13</v>
      </c>
      <c r="B16" s="47">
        <v>45200</v>
      </c>
      <c r="C16" s="51">
        <v>63816</v>
      </c>
      <c r="D16" s="5">
        <v>17507</v>
      </c>
      <c r="E16" s="53"/>
      <c r="F16" s="53"/>
      <c r="G16" s="53"/>
    </row>
    <row r="17" customHeight="1" spans="1:7">
      <c r="A17" s="46">
        <v>14</v>
      </c>
      <c r="B17" s="47">
        <v>45231</v>
      </c>
      <c r="C17" s="51">
        <v>67677</v>
      </c>
      <c r="D17" s="5">
        <v>18601</v>
      </c>
      <c r="E17" s="53"/>
      <c r="F17" s="53"/>
      <c r="G17" s="53"/>
    </row>
    <row r="18" customHeight="1" spans="1:7">
      <c r="A18" s="46">
        <v>15</v>
      </c>
      <c r="B18" s="47">
        <v>45261</v>
      </c>
      <c r="C18" s="51">
        <v>70143</v>
      </c>
      <c r="D18" s="5">
        <v>18728</v>
      </c>
      <c r="E18" s="53"/>
      <c r="F18" s="53"/>
      <c r="G18" s="53"/>
    </row>
    <row r="19" customHeight="1" spans="1:7">
      <c r="A19" s="46">
        <v>16</v>
      </c>
      <c r="B19" s="54" t="s">
        <v>13</v>
      </c>
      <c r="C19" s="55">
        <f>C16+C17+C18</f>
        <v>201636</v>
      </c>
      <c r="D19" s="45">
        <f>D16+D17+D18</f>
        <v>54836</v>
      </c>
      <c r="E19" s="53"/>
      <c r="F19" s="53"/>
      <c r="G19" s="53"/>
    </row>
    <row r="20" customHeight="1" spans="1:7">
      <c r="A20" s="46">
        <v>17</v>
      </c>
      <c r="B20" s="57" t="s">
        <v>14</v>
      </c>
      <c r="C20" s="58">
        <f>C7+C11+C15+C19</f>
        <v>751350</v>
      </c>
      <c r="D20" s="45">
        <f>D7+D11+D15+D19</f>
        <v>205714</v>
      </c>
      <c r="E20" s="59"/>
      <c r="F20" s="59"/>
      <c r="G20" s="59"/>
    </row>
  </sheetData>
  <mergeCells count="7">
    <mergeCell ref="A1:C1"/>
    <mergeCell ref="A2:C2"/>
    <mergeCell ref="E4:E11"/>
    <mergeCell ref="E12:E20"/>
    <mergeCell ref="F4:F20"/>
    <mergeCell ref="G4:G20"/>
    <mergeCell ref="D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6" workbookViewId="0">
      <selection activeCell="G21" sqref="G21"/>
    </sheetView>
  </sheetViews>
  <sheetFormatPr defaultColWidth="11.5" defaultRowHeight="22" customHeight="1" outlineLevelCol="7"/>
  <cols>
    <col min="1" max="1" width="6.75" customWidth="1"/>
    <col min="2" max="2" width="11.75" customWidth="1"/>
    <col min="3" max="3" width="10.375" customWidth="1"/>
    <col min="4" max="4" width="10.875" customWidth="1"/>
    <col min="5" max="6" width="10" customWidth="1"/>
    <col min="7" max="7" width="14.25" customWidth="1"/>
    <col min="8" max="16383" width="11.5" customWidth="1"/>
  </cols>
  <sheetData>
    <row r="1" ht="36" customHeight="1" spans="1:8">
      <c r="A1" s="27" t="s">
        <v>15</v>
      </c>
      <c r="B1" s="27"/>
      <c r="C1" s="27"/>
      <c r="D1" s="27"/>
      <c r="E1" s="27"/>
      <c r="F1" s="27"/>
      <c r="G1" s="27"/>
      <c r="H1" s="27"/>
    </row>
    <row r="2" ht="27" customHeight="1" spans="1:8">
      <c r="A2" s="18" t="s">
        <v>3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20</v>
      </c>
      <c r="G2" s="18" t="s">
        <v>21</v>
      </c>
      <c r="H2" s="18" t="s">
        <v>22</v>
      </c>
    </row>
    <row r="3" ht="19" customHeight="1" spans="1:8">
      <c r="A3" s="18">
        <v>1</v>
      </c>
      <c r="B3" s="32">
        <v>44927</v>
      </c>
      <c r="C3" s="18">
        <v>297</v>
      </c>
      <c r="D3" s="18">
        <v>292</v>
      </c>
      <c r="E3" s="18">
        <v>292</v>
      </c>
      <c r="F3" s="20">
        <v>99</v>
      </c>
      <c r="G3" s="18">
        <v>3</v>
      </c>
      <c r="H3" s="18">
        <f>(E3+F3)*G3</f>
        <v>1173</v>
      </c>
    </row>
    <row r="4" ht="19" customHeight="1" spans="1:8">
      <c r="A4" s="18">
        <v>2</v>
      </c>
      <c r="B4" s="32">
        <v>44928</v>
      </c>
      <c r="C4" s="18">
        <v>591</v>
      </c>
      <c r="D4" s="18">
        <v>598</v>
      </c>
      <c r="E4" s="18">
        <v>598</v>
      </c>
      <c r="F4" s="20">
        <v>92</v>
      </c>
      <c r="G4" s="20">
        <v>3</v>
      </c>
      <c r="H4" s="18">
        <f t="shared" ref="H4:H34" si="0">(E4+F4)*G4</f>
        <v>2070</v>
      </c>
    </row>
    <row r="5" ht="19" customHeight="1" spans="1:8">
      <c r="A5" s="18">
        <v>3</v>
      </c>
      <c r="B5" s="32">
        <v>44929</v>
      </c>
      <c r="C5" s="18">
        <v>633</v>
      </c>
      <c r="D5" s="18">
        <v>604</v>
      </c>
      <c r="E5" s="18">
        <v>604</v>
      </c>
      <c r="F5" s="20">
        <v>99</v>
      </c>
      <c r="G5" s="20">
        <v>3</v>
      </c>
      <c r="H5" s="18">
        <f t="shared" si="0"/>
        <v>2109</v>
      </c>
    </row>
    <row r="6" ht="19" customHeight="1" spans="1:8">
      <c r="A6" s="18">
        <v>4</v>
      </c>
      <c r="B6" s="32">
        <v>44930</v>
      </c>
      <c r="C6" s="18">
        <v>629</v>
      </c>
      <c r="D6" s="18">
        <v>629</v>
      </c>
      <c r="E6" s="18">
        <v>629</v>
      </c>
      <c r="F6" s="20">
        <v>113</v>
      </c>
      <c r="G6" s="20">
        <v>3</v>
      </c>
      <c r="H6" s="18">
        <f t="shared" si="0"/>
        <v>2226</v>
      </c>
    </row>
    <row r="7" ht="19" customHeight="1" spans="1:8">
      <c r="A7" s="18">
        <v>5</v>
      </c>
      <c r="B7" s="32">
        <v>44931</v>
      </c>
      <c r="C7" s="18">
        <v>617</v>
      </c>
      <c r="D7" s="18">
        <v>625</v>
      </c>
      <c r="E7" s="18">
        <v>625</v>
      </c>
      <c r="F7" s="20">
        <v>113</v>
      </c>
      <c r="G7" s="20">
        <v>3</v>
      </c>
      <c r="H7" s="18">
        <f t="shared" si="0"/>
        <v>2214</v>
      </c>
    </row>
    <row r="8" ht="19" customHeight="1" spans="1:8">
      <c r="A8" s="18">
        <v>6</v>
      </c>
      <c r="B8" s="32">
        <v>44932</v>
      </c>
      <c r="C8" s="18">
        <v>626</v>
      </c>
      <c r="D8" s="20">
        <v>650</v>
      </c>
      <c r="E8" s="20">
        <v>650</v>
      </c>
      <c r="F8" s="20">
        <v>92</v>
      </c>
      <c r="G8" s="20">
        <v>3</v>
      </c>
      <c r="H8" s="18">
        <f t="shared" si="0"/>
        <v>2226</v>
      </c>
    </row>
    <row r="9" ht="19" customHeight="1" spans="1:8">
      <c r="A9" s="18">
        <v>7</v>
      </c>
      <c r="B9" s="32">
        <v>44933</v>
      </c>
      <c r="C9" s="18">
        <v>361</v>
      </c>
      <c r="D9" s="20">
        <v>363</v>
      </c>
      <c r="E9" s="20">
        <v>363</v>
      </c>
      <c r="F9" s="20">
        <v>88</v>
      </c>
      <c r="G9" s="20">
        <v>3</v>
      </c>
      <c r="H9" s="18">
        <f t="shared" si="0"/>
        <v>1353</v>
      </c>
    </row>
    <row r="10" ht="19" customHeight="1" spans="1:8">
      <c r="A10" s="18">
        <v>8</v>
      </c>
      <c r="B10" s="32">
        <v>44934</v>
      </c>
      <c r="C10" s="18">
        <v>332</v>
      </c>
      <c r="D10" s="20">
        <v>345</v>
      </c>
      <c r="E10" s="20">
        <v>345</v>
      </c>
      <c r="F10" s="20">
        <v>90</v>
      </c>
      <c r="G10" s="20">
        <v>3</v>
      </c>
      <c r="H10" s="18">
        <f t="shared" si="0"/>
        <v>1305</v>
      </c>
    </row>
    <row r="11" ht="19" customHeight="1" spans="1:8">
      <c r="A11" s="18">
        <v>9</v>
      </c>
      <c r="B11" s="32">
        <v>44935</v>
      </c>
      <c r="C11" s="18">
        <v>641</v>
      </c>
      <c r="D11" s="20">
        <v>612</v>
      </c>
      <c r="E11" s="20">
        <v>612</v>
      </c>
      <c r="F11" s="20">
        <v>99</v>
      </c>
      <c r="G11" s="20">
        <v>3</v>
      </c>
      <c r="H11" s="18">
        <f t="shared" si="0"/>
        <v>2133</v>
      </c>
    </row>
    <row r="12" ht="19" customHeight="1" spans="1:8">
      <c r="A12" s="18">
        <v>10</v>
      </c>
      <c r="B12" s="32">
        <v>44936</v>
      </c>
      <c r="C12" s="18">
        <v>640</v>
      </c>
      <c r="D12" s="20">
        <v>649</v>
      </c>
      <c r="E12" s="20">
        <v>649</v>
      </c>
      <c r="F12" s="20">
        <v>107</v>
      </c>
      <c r="G12" s="20">
        <v>3</v>
      </c>
      <c r="H12" s="18">
        <f t="shared" si="0"/>
        <v>2268</v>
      </c>
    </row>
    <row r="13" ht="19" customHeight="1" spans="1:8">
      <c r="A13" s="18">
        <v>11</v>
      </c>
      <c r="B13" s="32">
        <v>44937</v>
      </c>
      <c r="C13" s="18">
        <v>641</v>
      </c>
      <c r="D13" s="20">
        <v>636</v>
      </c>
      <c r="E13" s="20">
        <v>636</v>
      </c>
      <c r="F13" s="20">
        <v>86</v>
      </c>
      <c r="G13" s="20">
        <v>3</v>
      </c>
      <c r="H13" s="18">
        <f t="shared" si="0"/>
        <v>2166</v>
      </c>
    </row>
    <row r="14" ht="19" customHeight="1" spans="1:8">
      <c r="A14" s="18">
        <v>12</v>
      </c>
      <c r="B14" s="32">
        <v>44938</v>
      </c>
      <c r="C14" s="18">
        <v>626</v>
      </c>
      <c r="D14" s="20">
        <v>655</v>
      </c>
      <c r="E14" s="20">
        <v>655</v>
      </c>
      <c r="F14" s="20">
        <v>8</v>
      </c>
      <c r="G14" s="20">
        <v>3</v>
      </c>
      <c r="H14" s="18">
        <f t="shared" si="0"/>
        <v>1989</v>
      </c>
    </row>
    <row r="15" ht="19" customHeight="1" spans="1:8">
      <c r="A15" s="18">
        <v>13</v>
      </c>
      <c r="B15" s="32">
        <v>44939</v>
      </c>
      <c r="C15" s="18">
        <v>656</v>
      </c>
      <c r="D15" s="20">
        <v>663</v>
      </c>
      <c r="E15" s="20">
        <v>663</v>
      </c>
      <c r="F15" s="20">
        <v>37</v>
      </c>
      <c r="G15" s="20">
        <v>3</v>
      </c>
      <c r="H15" s="18">
        <f t="shared" si="0"/>
        <v>2100</v>
      </c>
    </row>
    <row r="16" ht="19" customHeight="1" spans="1:8">
      <c r="A16" s="18">
        <v>14</v>
      </c>
      <c r="B16" s="32">
        <v>44940</v>
      </c>
      <c r="C16" s="18">
        <v>347</v>
      </c>
      <c r="D16" s="20">
        <v>391</v>
      </c>
      <c r="E16" s="20">
        <v>391</v>
      </c>
      <c r="F16" s="20">
        <v>26</v>
      </c>
      <c r="G16" s="20">
        <v>3</v>
      </c>
      <c r="H16" s="18">
        <f t="shared" si="0"/>
        <v>1251</v>
      </c>
    </row>
    <row r="17" ht="19" customHeight="1" spans="1:8">
      <c r="A17" s="18">
        <v>15</v>
      </c>
      <c r="B17" s="32">
        <v>44941</v>
      </c>
      <c r="C17" s="18">
        <v>289</v>
      </c>
      <c r="D17" s="20">
        <v>277</v>
      </c>
      <c r="E17" s="20">
        <v>277</v>
      </c>
      <c r="F17" s="20">
        <v>17</v>
      </c>
      <c r="G17" s="20">
        <v>3</v>
      </c>
      <c r="H17" s="18">
        <f t="shared" si="0"/>
        <v>882</v>
      </c>
    </row>
    <row r="18" ht="19" customHeight="1" spans="1:8">
      <c r="A18" s="18">
        <v>16</v>
      </c>
      <c r="B18" s="32">
        <v>44942</v>
      </c>
      <c r="C18" s="18">
        <v>635</v>
      </c>
      <c r="D18" s="20">
        <v>639</v>
      </c>
      <c r="E18" s="20">
        <v>639</v>
      </c>
      <c r="F18" s="20">
        <v>20</v>
      </c>
      <c r="G18" s="20">
        <v>3</v>
      </c>
      <c r="H18" s="18">
        <f t="shared" si="0"/>
        <v>1977</v>
      </c>
    </row>
    <row r="19" ht="19" customHeight="1" spans="1:8">
      <c r="A19" s="18">
        <v>17</v>
      </c>
      <c r="B19" s="32">
        <v>44943</v>
      </c>
      <c r="C19" s="18">
        <v>674</v>
      </c>
      <c r="D19" s="20">
        <v>675</v>
      </c>
      <c r="E19" s="20">
        <v>675</v>
      </c>
      <c r="F19" s="20">
        <v>19</v>
      </c>
      <c r="G19" s="20">
        <v>3</v>
      </c>
      <c r="H19" s="18">
        <f t="shared" si="0"/>
        <v>2082</v>
      </c>
    </row>
    <row r="20" ht="19" customHeight="1" spans="1:8">
      <c r="A20" s="18">
        <v>18</v>
      </c>
      <c r="B20" s="32">
        <v>44944</v>
      </c>
      <c r="C20" s="18">
        <v>629</v>
      </c>
      <c r="D20" s="20">
        <v>635</v>
      </c>
      <c r="E20" s="20">
        <v>635</v>
      </c>
      <c r="F20" s="20">
        <v>20</v>
      </c>
      <c r="G20" s="20">
        <v>3</v>
      </c>
      <c r="H20" s="18">
        <f t="shared" si="0"/>
        <v>1965</v>
      </c>
    </row>
    <row r="21" ht="19" customHeight="1" spans="1:8">
      <c r="A21" s="18">
        <v>19</v>
      </c>
      <c r="B21" s="32">
        <v>44945</v>
      </c>
      <c r="C21" s="18">
        <v>612</v>
      </c>
      <c r="D21" s="20">
        <v>654</v>
      </c>
      <c r="E21" s="20">
        <v>654</v>
      </c>
      <c r="F21" s="20">
        <v>24</v>
      </c>
      <c r="G21" s="20">
        <v>3</v>
      </c>
      <c r="H21" s="18">
        <f t="shared" si="0"/>
        <v>2034</v>
      </c>
    </row>
    <row r="22" ht="19" customHeight="1" spans="1:8">
      <c r="A22" s="18">
        <v>20</v>
      </c>
      <c r="B22" s="32">
        <v>44946</v>
      </c>
      <c r="C22" s="18">
        <v>564</v>
      </c>
      <c r="D22" s="20">
        <v>597</v>
      </c>
      <c r="E22" s="20">
        <v>597</v>
      </c>
      <c r="F22" s="20">
        <v>47</v>
      </c>
      <c r="G22" s="20">
        <v>3</v>
      </c>
      <c r="H22" s="18">
        <f t="shared" si="0"/>
        <v>1932</v>
      </c>
    </row>
    <row r="23" ht="19" customHeight="1" spans="1:8">
      <c r="A23" s="18">
        <v>21</v>
      </c>
      <c r="B23" s="32">
        <v>44947</v>
      </c>
      <c r="C23" s="18">
        <v>271</v>
      </c>
      <c r="D23" s="20">
        <v>273</v>
      </c>
      <c r="E23" s="20">
        <v>273</v>
      </c>
      <c r="F23" s="20">
        <v>49</v>
      </c>
      <c r="G23" s="20">
        <v>3</v>
      </c>
      <c r="H23" s="18">
        <f t="shared" si="0"/>
        <v>966</v>
      </c>
    </row>
    <row r="24" ht="19" customHeight="1" spans="1:8">
      <c r="A24" s="18">
        <v>22</v>
      </c>
      <c r="B24" s="32">
        <v>44948</v>
      </c>
      <c r="C24" s="18">
        <v>195</v>
      </c>
      <c r="D24" s="20">
        <v>209</v>
      </c>
      <c r="E24" s="20">
        <v>209</v>
      </c>
      <c r="F24" s="20">
        <v>56</v>
      </c>
      <c r="G24" s="20">
        <v>3</v>
      </c>
      <c r="H24" s="18">
        <f t="shared" si="0"/>
        <v>795</v>
      </c>
    </row>
    <row r="25" ht="19" customHeight="1" spans="1:8">
      <c r="A25" s="18">
        <v>23</v>
      </c>
      <c r="B25" s="32">
        <v>44949</v>
      </c>
      <c r="C25" s="18">
        <v>220</v>
      </c>
      <c r="D25" s="20">
        <v>202</v>
      </c>
      <c r="E25" s="20">
        <v>202</v>
      </c>
      <c r="F25" s="20">
        <v>49</v>
      </c>
      <c r="G25" s="20">
        <v>3</v>
      </c>
      <c r="H25" s="18">
        <f t="shared" si="0"/>
        <v>753</v>
      </c>
    </row>
    <row r="26" ht="19" customHeight="1" spans="1:8">
      <c r="A26" s="18">
        <v>24</v>
      </c>
      <c r="B26" s="32">
        <v>44950</v>
      </c>
      <c r="C26" s="18">
        <v>217</v>
      </c>
      <c r="D26" s="20">
        <v>234</v>
      </c>
      <c r="E26" s="20">
        <v>234</v>
      </c>
      <c r="F26" s="20">
        <v>47</v>
      </c>
      <c r="G26" s="20">
        <v>3</v>
      </c>
      <c r="H26" s="18">
        <f t="shared" si="0"/>
        <v>843</v>
      </c>
    </row>
    <row r="27" ht="19" customHeight="1" spans="1:8">
      <c r="A27" s="18">
        <v>25</v>
      </c>
      <c r="B27" s="32">
        <v>44951</v>
      </c>
      <c r="C27" s="18">
        <v>231</v>
      </c>
      <c r="D27" s="20">
        <v>231</v>
      </c>
      <c r="E27" s="20">
        <v>231</v>
      </c>
      <c r="F27" s="20">
        <v>46</v>
      </c>
      <c r="G27" s="20">
        <v>3</v>
      </c>
      <c r="H27" s="18">
        <f t="shared" si="0"/>
        <v>831</v>
      </c>
    </row>
    <row r="28" ht="19" customHeight="1" spans="1:8">
      <c r="A28" s="18">
        <v>26</v>
      </c>
      <c r="B28" s="32">
        <v>44952</v>
      </c>
      <c r="C28" s="18">
        <v>276</v>
      </c>
      <c r="D28" s="20">
        <v>268</v>
      </c>
      <c r="E28" s="20">
        <v>268</v>
      </c>
      <c r="F28" s="20">
        <v>38</v>
      </c>
      <c r="G28" s="20">
        <v>3</v>
      </c>
      <c r="H28" s="18">
        <f t="shared" si="0"/>
        <v>918</v>
      </c>
    </row>
    <row r="29" ht="19" customHeight="1" spans="1:8">
      <c r="A29" s="18">
        <v>27</v>
      </c>
      <c r="B29" s="32">
        <v>44953</v>
      </c>
      <c r="C29" s="18">
        <v>329</v>
      </c>
      <c r="D29" s="20">
        <v>304</v>
      </c>
      <c r="E29" s="20">
        <v>304</v>
      </c>
      <c r="F29" s="20">
        <v>35</v>
      </c>
      <c r="G29" s="20">
        <v>3</v>
      </c>
      <c r="H29" s="18">
        <f t="shared" si="0"/>
        <v>1017</v>
      </c>
    </row>
    <row r="30" ht="19" customHeight="1" spans="1:8">
      <c r="A30" s="18">
        <v>28</v>
      </c>
      <c r="B30" s="32">
        <v>44954</v>
      </c>
      <c r="C30" s="18">
        <v>525</v>
      </c>
      <c r="D30" s="20">
        <v>519</v>
      </c>
      <c r="E30" s="20">
        <v>519</v>
      </c>
      <c r="F30" s="20">
        <v>20</v>
      </c>
      <c r="G30" s="20">
        <v>3</v>
      </c>
      <c r="H30" s="18">
        <f t="shared" si="0"/>
        <v>1617</v>
      </c>
    </row>
    <row r="31" ht="19" customHeight="1" spans="1:8">
      <c r="A31" s="18">
        <v>29</v>
      </c>
      <c r="B31" s="32">
        <v>44955</v>
      </c>
      <c r="C31" s="18">
        <v>545</v>
      </c>
      <c r="D31" s="20">
        <v>554</v>
      </c>
      <c r="E31" s="20">
        <v>554</v>
      </c>
      <c r="F31" s="20">
        <v>12</v>
      </c>
      <c r="G31" s="20">
        <v>3</v>
      </c>
      <c r="H31" s="18">
        <f t="shared" si="0"/>
        <v>1698</v>
      </c>
    </row>
    <row r="32" ht="19" customHeight="1" spans="1:8">
      <c r="A32" s="18">
        <v>30</v>
      </c>
      <c r="B32" s="32">
        <v>44956</v>
      </c>
      <c r="C32" s="18">
        <v>625</v>
      </c>
      <c r="D32" s="20">
        <v>594</v>
      </c>
      <c r="E32" s="20">
        <v>594</v>
      </c>
      <c r="F32" s="20">
        <v>2</v>
      </c>
      <c r="G32" s="20">
        <v>3</v>
      </c>
      <c r="H32" s="18">
        <f t="shared" si="0"/>
        <v>1788</v>
      </c>
    </row>
    <row r="33" ht="19" customHeight="1" spans="1:8">
      <c r="A33" s="18">
        <v>31</v>
      </c>
      <c r="B33" s="32">
        <v>44957</v>
      </c>
      <c r="C33" s="18">
        <v>635</v>
      </c>
      <c r="D33" s="22">
        <v>629</v>
      </c>
      <c r="E33" s="22">
        <v>629</v>
      </c>
      <c r="F33" s="20">
        <v>5</v>
      </c>
      <c r="G33" s="22">
        <v>3</v>
      </c>
      <c r="H33" s="18">
        <f t="shared" si="0"/>
        <v>1902</v>
      </c>
    </row>
    <row r="34" ht="19" customHeight="1" spans="1:8">
      <c r="A34" s="20" t="s">
        <v>23</v>
      </c>
      <c r="B34" s="11"/>
      <c r="C34" s="20">
        <f>SUM(C3:C33)</f>
        <v>15109</v>
      </c>
      <c r="D34" s="20">
        <f>SUM(D3:D33)</f>
        <v>15206</v>
      </c>
      <c r="E34" s="20">
        <f>SUM(E3:E33)</f>
        <v>15206</v>
      </c>
      <c r="F34" s="20">
        <f>SUM(F3:F33)</f>
        <v>1655</v>
      </c>
      <c r="G34" s="20">
        <v>3</v>
      </c>
      <c r="H34" s="18">
        <f t="shared" si="0"/>
        <v>50583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7" workbookViewId="0">
      <selection activeCell="A1" sqref="A1:H1"/>
    </sheetView>
  </sheetViews>
  <sheetFormatPr defaultColWidth="11.625" defaultRowHeight="22" customHeight="1" outlineLevelCol="7"/>
  <cols>
    <col min="1" max="1" width="7.75" customWidth="1"/>
    <col min="2" max="2" width="10.75" customWidth="1"/>
    <col min="3" max="3" width="10.625" customWidth="1"/>
    <col min="4" max="4" width="10.75" customWidth="1"/>
    <col min="5" max="5" width="9.25" customWidth="1"/>
    <col min="6" max="6" width="9.75" customWidth="1"/>
    <col min="7" max="7" width="14.375" customWidth="1"/>
    <col min="8" max="16383" width="11.625" customWidth="1"/>
  </cols>
  <sheetData>
    <row r="1" customHeight="1" spans="1:8">
      <c r="A1" s="27" t="s">
        <v>24</v>
      </c>
      <c r="B1" s="27"/>
      <c r="C1" s="27"/>
      <c r="D1" s="27"/>
      <c r="E1" s="27"/>
      <c r="F1" s="27"/>
      <c r="G1" s="27"/>
      <c r="H1" s="27"/>
    </row>
    <row r="2" customHeight="1" spans="1:8">
      <c r="A2" s="18" t="s">
        <v>3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20</v>
      </c>
      <c r="G2" s="18" t="s">
        <v>21</v>
      </c>
      <c r="H2" s="18" t="s">
        <v>22</v>
      </c>
    </row>
    <row r="3" customHeight="1" spans="1:8">
      <c r="A3" s="18">
        <v>1</v>
      </c>
      <c r="B3" s="32">
        <v>44958</v>
      </c>
      <c r="C3" s="18">
        <v>647</v>
      </c>
      <c r="D3" s="18">
        <v>660</v>
      </c>
      <c r="E3" s="18">
        <v>660</v>
      </c>
      <c r="F3" s="11">
        <v>17</v>
      </c>
      <c r="G3" s="18">
        <v>3</v>
      </c>
      <c r="H3" s="18">
        <f>(E3+F3)*G3</f>
        <v>2031</v>
      </c>
    </row>
    <row r="4" customHeight="1" spans="1:8">
      <c r="A4" s="18">
        <v>2</v>
      </c>
      <c r="B4" s="32">
        <v>44959</v>
      </c>
      <c r="C4" s="18">
        <v>666</v>
      </c>
      <c r="D4" s="18">
        <v>650</v>
      </c>
      <c r="E4" s="18">
        <v>650</v>
      </c>
      <c r="F4" s="11">
        <v>12</v>
      </c>
      <c r="G4" s="20">
        <v>3</v>
      </c>
      <c r="H4" s="18">
        <f t="shared" ref="H4:H31" si="0">(E4+F4)*G4</f>
        <v>1986</v>
      </c>
    </row>
    <row r="5" customHeight="1" spans="1:8">
      <c r="A5" s="18">
        <v>3</v>
      </c>
      <c r="B5" s="32">
        <v>44960</v>
      </c>
      <c r="C5" s="18">
        <v>633</v>
      </c>
      <c r="D5" s="18">
        <v>675</v>
      </c>
      <c r="E5" s="18">
        <v>675</v>
      </c>
      <c r="F5" s="11">
        <v>11</v>
      </c>
      <c r="G5" s="20">
        <v>3</v>
      </c>
      <c r="H5" s="18">
        <f t="shared" si="0"/>
        <v>2058</v>
      </c>
    </row>
    <row r="6" customHeight="1" spans="1:8">
      <c r="A6" s="18">
        <v>4</v>
      </c>
      <c r="B6" s="32">
        <v>44961</v>
      </c>
      <c r="C6" s="18">
        <v>335</v>
      </c>
      <c r="D6" s="18">
        <v>368</v>
      </c>
      <c r="E6" s="18">
        <v>368</v>
      </c>
      <c r="F6" s="11">
        <v>26</v>
      </c>
      <c r="G6" s="20">
        <v>3</v>
      </c>
      <c r="H6" s="18">
        <f t="shared" si="0"/>
        <v>1182</v>
      </c>
    </row>
    <row r="7" customHeight="1" spans="1:8">
      <c r="A7" s="18">
        <v>5</v>
      </c>
      <c r="B7" s="32">
        <v>44962</v>
      </c>
      <c r="C7" s="18">
        <v>349</v>
      </c>
      <c r="D7" s="18">
        <v>348</v>
      </c>
      <c r="E7" s="18">
        <v>348</v>
      </c>
      <c r="F7" s="11">
        <v>33</v>
      </c>
      <c r="G7" s="20">
        <v>3</v>
      </c>
      <c r="H7" s="18">
        <f t="shared" si="0"/>
        <v>1143</v>
      </c>
    </row>
    <row r="8" customHeight="1" spans="1:8">
      <c r="A8" s="18">
        <v>6</v>
      </c>
      <c r="B8" s="32">
        <v>44963</v>
      </c>
      <c r="C8" s="18">
        <v>656</v>
      </c>
      <c r="D8" s="20">
        <v>613</v>
      </c>
      <c r="E8" s="20">
        <v>613</v>
      </c>
      <c r="F8" s="11">
        <v>29</v>
      </c>
      <c r="G8" s="20">
        <v>3</v>
      </c>
      <c r="H8" s="18">
        <f t="shared" si="0"/>
        <v>1926</v>
      </c>
    </row>
    <row r="9" customHeight="1" spans="1:8">
      <c r="A9" s="18">
        <v>7</v>
      </c>
      <c r="B9" s="32">
        <v>44964</v>
      </c>
      <c r="C9" s="18">
        <v>651</v>
      </c>
      <c r="D9" s="20">
        <v>603</v>
      </c>
      <c r="E9" s="20">
        <v>603</v>
      </c>
      <c r="F9" s="11">
        <v>10</v>
      </c>
      <c r="G9" s="20">
        <v>3</v>
      </c>
      <c r="H9" s="18">
        <f t="shared" si="0"/>
        <v>1839</v>
      </c>
    </row>
    <row r="10" customHeight="1" spans="1:8">
      <c r="A10" s="18">
        <v>8</v>
      </c>
      <c r="B10" s="32">
        <v>44965</v>
      </c>
      <c r="C10" s="18">
        <v>660</v>
      </c>
      <c r="D10" s="20">
        <v>660</v>
      </c>
      <c r="E10" s="20">
        <v>660</v>
      </c>
      <c r="F10" s="11">
        <v>42</v>
      </c>
      <c r="G10" s="20">
        <v>3</v>
      </c>
      <c r="H10" s="18">
        <f t="shared" si="0"/>
        <v>2106</v>
      </c>
    </row>
    <row r="11" customHeight="1" spans="1:8">
      <c r="A11" s="18">
        <v>9</v>
      </c>
      <c r="B11" s="32">
        <v>44966</v>
      </c>
      <c r="C11" s="18">
        <v>621</v>
      </c>
      <c r="D11" s="20">
        <v>617</v>
      </c>
      <c r="E11" s="20">
        <v>617</v>
      </c>
      <c r="F11" s="11">
        <v>46</v>
      </c>
      <c r="G11" s="20">
        <v>3</v>
      </c>
      <c r="H11" s="18">
        <f t="shared" si="0"/>
        <v>1989</v>
      </c>
    </row>
    <row r="12" customHeight="1" spans="1:8">
      <c r="A12" s="18">
        <v>10</v>
      </c>
      <c r="B12" s="32">
        <v>44967</v>
      </c>
      <c r="C12" s="18">
        <v>641</v>
      </c>
      <c r="D12" s="20">
        <v>653</v>
      </c>
      <c r="E12" s="20">
        <v>653</v>
      </c>
      <c r="F12" s="11">
        <v>33</v>
      </c>
      <c r="G12" s="20">
        <v>3</v>
      </c>
      <c r="H12" s="18">
        <f t="shared" si="0"/>
        <v>2058</v>
      </c>
    </row>
    <row r="13" customHeight="1" spans="1:8">
      <c r="A13" s="18">
        <v>11</v>
      </c>
      <c r="B13" s="32">
        <v>44968</v>
      </c>
      <c r="C13" s="18">
        <v>359</v>
      </c>
      <c r="D13" s="20">
        <v>397</v>
      </c>
      <c r="E13" s="20">
        <v>397</v>
      </c>
      <c r="F13" s="11">
        <v>19</v>
      </c>
      <c r="G13" s="20">
        <v>3</v>
      </c>
      <c r="H13" s="18">
        <f t="shared" si="0"/>
        <v>1248</v>
      </c>
    </row>
    <row r="14" customHeight="1" spans="1:8">
      <c r="A14" s="18">
        <v>12</v>
      </c>
      <c r="B14" s="32">
        <v>44969</v>
      </c>
      <c r="C14" s="18">
        <v>373</v>
      </c>
      <c r="D14" s="20">
        <v>371</v>
      </c>
      <c r="E14" s="20">
        <v>371</v>
      </c>
      <c r="F14" s="11">
        <v>17</v>
      </c>
      <c r="G14" s="20">
        <v>3</v>
      </c>
      <c r="H14" s="18">
        <f t="shared" si="0"/>
        <v>1164</v>
      </c>
    </row>
    <row r="15" customHeight="1" spans="1:8">
      <c r="A15" s="18">
        <v>13</v>
      </c>
      <c r="B15" s="32">
        <v>44970</v>
      </c>
      <c r="C15" s="18">
        <v>684</v>
      </c>
      <c r="D15" s="20">
        <v>655</v>
      </c>
      <c r="E15" s="20">
        <v>655</v>
      </c>
      <c r="F15" s="11">
        <v>19</v>
      </c>
      <c r="G15" s="20">
        <v>3</v>
      </c>
      <c r="H15" s="18">
        <f t="shared" si="0"/>
        <v>2022</v>
      </c>
    </row>
    <row r="16" customHeight="1" spans="1:8">
      <c r="A16" s="18">
        <v>14</v>
      </c>
      <c r="B16" s="32">
        <v>44971</v>
      </c>
      <c r="C16" s="18">
        <v>672</v>
      </c>
      <c r="D16" s="20">
        <v>662</v>
      </c>
      <c r="E16" s="20">
        <v>662</v>
      </c>
      <c r="F16" s="11">
        <v>61</v>
      </c>
      <c r="G16" s="20">
        <v>3</v>
      </c>
      <c r="H16" s="18">
        <f t="shared" si="0"/>
        <v>2169</v>
      </c>
    </row>
    <row r="17" customHeight="1" spans="1:8">
      <c r="A17" s="18">
        <v>15</v>
      </c>
      <c r="B17" s="32">
        <v>44972</v>
      </c>
      <c r="C17" s="18">
        <v>669</v>
      </c>
      <c r="D17" s="20">
        <v>687</v>
      </c>
      <c r="E17" s="20">
        <v>687</v>
      </c>
      <c r="F17" s="11">
        <v>62</v>
      </c>
      <c r="G17" s="20">
        <v>3</v>
      </c>
      <c r="H17" s="18">
        <f t="shared" si="0"/>
        <v>2247</v>
      </c>
    </row>
    <row r="18" customHeight="1" spans="1:8">
      <c r="A18" s="18">
        <v>16</v>
      </c>
      <c r="B18" s="32">
        <v>44973</v>
      </c>
      <c r="C18" s="18">
        <v>660</v>
      </c>
      <c r="D18" s="20">
        <v>662</v>
      </c>
      <c r="E18" s="20">
        <v>662</v>
      </c>
      <c r="F18" s="11">
        <v>60</v>
      </c>
      <c r="G18" s="20">
        <v>3</v>
      </c>
      <c r="H18" s="18">
        <f t="shared" si="0"/>
        <v>2166</v>
      </c>
    </row>
    <row r="19" customHeight="1" spans="1:8">
      <c r="A19" s="18">
        <v>17</v>
      </c>
      <c r="B19" s="32">
        <v>44974</v>
      </c>
      <c r="C19" s="18">
        <v>660</v>
      </c>
      <c r="D19" s="20">
        <v>674</v>
      </c>
      <c r="E19" s="20">
        <v>674</v>
      </c>
      <c r="F19" s="11">
        <v>41</v>
      </c>
      <c r="G19" s="20">
        <v>3</v>
      </c>
      <c r="H19" s="18">
        <f t="shared" si="0"/>
        <v>2145</v>
      </c>
    </row>
    <row r="20" customHeight="1" spans="1:8">
      <c r="A20" s="18">
        <v>18</v>
      </c>
      <c r="B20" s="32">
        <v>44975</v>
      </c>
      <c r="C20" s="18">
        <v>386</v>
      </c>
      <c r="D20" s="20">
        <v>436</v>
      </c>
      <c r="E20" s="20">
        <v>436</v>
      </c>
      <c r="F20" s="11">
        <v>43</v>
      </c>
      <c r="G20" s="20">
        <v>3</v>
      </c>
      <c r="H20" s="18">
        <f t="shared" si="0"/>
        <v>1437</v>
      </c>
    </row>
    <row r="21" customHeight="1" spans="1:8">
      <c r="A21" s="18">
        <v>19</v>
      </c>
      <c r="B21" s="32">
        <v>44976</v>
      </c>
      <c r="C21" s="18">
        <v>337</v>
      </c>
      <c r="D21" s="20">
        <v>358</v>
      </c>
      <c r="E21" s="20">
        <v>358</v>
      </c>
      <c r="F21" s="11">
        <v>17</v>
      </c>
      <c r="G21" s="20">
        <v>3</v>
      </c>
      <c r="H21" s="18">
        <f t="shared" si="0"/>
        <v>1125</v>
      </c>
    </row>
    <row r="22" customHeight="1" spans="1:8">
      <c r="A22" s="18">
        <v>20</v>
      </c>
      <c r="B22" s="32">
        <v>44977</v>
      </c>
      <c r="C22" s="18">
        <v>703</v>
      </c>
      <c r="D22" s="20">
        <v>641</v>
      </c>
      <c r="E22" s="20">
        <v>641</v>
      </c>
      <c r="F22" s="11">
        <v>24</v>
      </c>
      <c r="G22" s="20">
        <v>3</v>
      </c>
      <c r="H22" s="18">
        <f t="shared" si="0"/>
        <v>1995</v>
      </c>
    </row>
    <row r="23" customHeight="1" spans="1:8">
      <c r="A23" s="18">
        <v>21</v>
      </c>
      <c r="B23" s="32">
        <v>44978</v>
      </c>
      <c r="C23" s="18">
        <v>672</v>
      </c>
      <c r="D23" s="20">
        <v>655</v>
      </c>
      <c r="E23" s="20">
        <v>655</v>
      </c>
      <c r="F23" s="11">
        <v>75</v>
      </c>
      <c r="G23" s="20">
        <v>3</v>
      </c>
      <c r="H23" s="18">
        <f t="shared" si="0"/>
        <v>2190</v>
      </c>
    </row>
    <row r="24" customHeight="1" spans="1:8">
      <c r="A24" s="18">
        <v>22</v>
      </c>
      <c r="B24" s="32">
        <v>44979</v>
      </c>
      <c r="C24" s="18">
        <v>659</v>
      </c>
      <c r="D24" s="20">
        <v>671</v>
      </c>
      <c r="E24" s="20">
        <v>671</v>
      </c>
      <c r="F24" s="11">
        <v>75</v>
      </c>
      <c r="G24" s="20">
        <v>3</v>
      </c>
      <c r="H24" s="18">
        <f t="shared" si="0"/>
        <v>2238</v>
      </c>
    </row>
    <row r="25" customHeight="1" spans="1:8">
      <c r="A25" s="18">
        <v>23</v>
      </c>
      <c r="B25" s="33">
        <v>44980</v>
      </c>
      <c r="C25" s="20">
        <v>641</v>
      </c>
      <c r="D25" s="20">
        <v>657</v>
      </c>
      <c r="E25" s="20">
        <v>657</v>
      </c>
      <c r="F25" s="34"/>
      <c r="G25" s="20">
        <v>3</v>
      </c>
      <c r="H25" s="18">
        <f t="shared" si="0"/>
        <v>1971</v>
      </c>
    </row>
    <row r="26" customHeight="1" spans="1:8">
      <c r="A26" s="18">
        <v>24</v>
      </c>
      <c r="B26" s="33">
        <v>44981</v>
      </c>
      <c r="C26" s="20">
        <v>636</v>
      </c>
      <c r="D26" s="20">
        <v>660</v>
      </c>
      <c r="E26" s="20">
        <v>660</v>
      </c>
      <c r="F26" s="34"/>
      <c r="G26" s="20">
        <v>3</v>
      </c>
      <c r="H26" s="18">
        <f t="shared" si="0"/>
        <v>1980</v>
      </c>
    </row>
    <row r="27" customHeight="1" spans="1:8">
      <c r="A27" s="18">
        <v>25</v>
      </c>
      <c r="B27" s="33">
        <v>44982</v>
      </c>
      <c r="C27" s="20">
        <v>345</v>
      </c>
      <c r="D27" s="20">
        <v>393</v>
      </c>
      <c r="E27" s="20">
        <v>393</v>
      </c>
      <c r="F27" s="34"/>
      <c r="G27" s="20">
        <v>3</v>
      </c>
      <c r="H27" s="18">
        <f t="shared" si="0"/>
        <v>1179</v>
      </c>
    </row>
    <row r="28" customHeight="1" spans="1:8">
      <c r="A28" s="18">
        <v>26</v>
      </c>
      <c r="B28" s="33">
        <v>44983</v>
      </c>
      <c r="C28" s="20">
        <v>350</v>
      </c>
      <c r="D28" s="20">
        <v>342</v>
      </c>
      <c r="E28" s="20">
        <v>342</v>
      </c>
      <c r="F28" s="34"/>
      <c r="G28" s="20">
        <v>3</v>
      </c>
      <c r="H28" s="18">
        <f t="shared" si="0"/>
        <v>1026</v>
      </c>
    </row>
    <row r="29" customHeight="1" spans="1:8">
      <c r="A29" s="18">
        <v>27</v>
      </c>
      <c r="B29" s="33">
        <v>44984</v>
      </c>
      <c r="C29" s="20">
        <v>671</v>
      </c>
      <c r="D29" s="20">
        <v>632</v>
      </c>
      <c r="E29" s="20">
        <v>632</v>
      </c>
      <c r="F29" s="34"/>
      <c r="G29" s="20">
        <v>3</v>
      </c>
      <c r="H29" s="18">
        <f t="shared" si="0"/>
        <v>1896</v>
      </c>
    </row>
    <row r="30" customHeight="1" spans="1:8">
      <c r="A30" s="18">
        <v>28</v>
      </c>
      <c r="B30" s="33">
        <v>44985</v>
      </c>
      <c r="C30" s="20">
        <v>670</v>
      </c>
      <c r="D30" s="20">
        <v>677</v>
      </c>
      <c r="E30" s="20">
        <v>677</v>
      </c>
      <c r="F30" s="34"/>
      <c r="G30" s="20">
        <v>3</v>
      </c>
      <c r="H30" s="18">
        <f t="shared" si="0"/>
        <v>2031</v>
      </c>
    </row>
    <row r="31" customHeight="1" spans="1:8">
      <c r="A31" s="20" t="s">
        <v>23</v>
      </c>
      <c r="B31" s="11"/>
      <c r="C31" s="20">
        <f>SUM(C3:C30)</f>
        <v>16006</v>
      </c>
      <c r="D31" s="20">
        <f>SUM(D3:D30)</f>
        <v>16077</v>
      </c>
      <c r="E31" s="20">
        <f>SUM(E3:E30)</f>
        <v>16077</v>
      </c>
      <c r="F31" s="20">
        <f>SUM(F3:F30)</f>
        <v>772</v>
      </c>
      <c r="G31" s="20">
        <v>3</v>
      </c>
      <c r="H31" s="18">
        <f t="shared" si="0"/>
        <v>50547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K3" sqref="K3"/>
    </sheetView>
  </sheetViews>
  <sheetFormatPr defaultColWidth="11.625" defaultRowHeight="22" customHeight="1"/>
  <cols>
    <col min="1" max="2" width="13.125" customWidth="1"/>
    <col min="3" max="3" width="14.5" customWidth="1"/>
    <col min="4" max="4" width="15.25" customWidth="1"/>
    <col min="5" max="5" width="15.375" customWidth="1"/>
    <col min="6" max="6" width="22.375" customWidth="1"/>
    <col min="7" max="7" width="20" customWidth="1"/>
    <col min="8" max="8" width="12.625" customWidth="1"/>
    <col min="9" max="10" width="11.75" customWidth="1"/>
    <col min="11" max="11" width="25" customWidth="1"/>
    <col min="12" max="12" width="19.25" customWidth="1"/>
    <col min="13" max="16384" width="11.625" customWidth="1"/>
  </cols>
  <sheetData>
    <row r="1" ht="34" customHeight="1" spans="1:12">
      <c r="A1" s="16" t="s">
        <v>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ht="28" customHeight="1" spans="1:12">
      <c r="A2" s="18" t="s">
        <v>3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21</v>
      </c>
      <c r="G2" s="3" t="s">
        <v>26</v>
      </c>
      <c r="H2" s="18" t="s">
        <v>27</v>
      </c>
      <c r="I2" s="18"/>
      <c r="J2" s="18"/>
      <c r="K2" s="3" t="s">
        <v>28</v>
      </c>
      <c r="L2" s="18" t="s">
        <v>22</v>
      </c>
    </row>
    <row r="3" ht="18" customHeight="1" spans="1:12">
      <c r="A3" s="18">
        <v>1</v>
      </c>
      <c r="B3" s="18" t="s">
        <v>29</v>
      </c>
      <c r="C3" s="18">
        <v>679</v>
      </c>
      <c r="D3" s="18">
        <v>686</v>
      </c>
      <c r="E3" s="18">
        <v>686</v>
      </c>
      <c r="F3" s="18">
        <v>3</v>
      </c>
      <c r="G3" s="18">
        <f t="shared" ref="G3:G34" si="0">E3*F3</f>
        <v>2058</v>
      </c>
      <c r="H3" s="18" t="s">
        <v>30</v>
      </c>
      <c r="I3" s="18">
        <v>1701</v>
      </c>
      <c r="J3" s="18">
        <v>3</v>
      </c>
      <c r="K3" s="18">
        <f t="shared" ref="K3:K33" si="1">I3*J3</f>
        <v>5103</v>
      </c>
      <c r="L3" s="18">
        <f t="shared" ref="L3:L34" si="2">G3+K3</f>
        <v>7161</v>
      </c>
    </row>
    <row r="4" ht="18" customHeight="1" spans="1:12">
      <c r="A4" s="18">
        <v>2</v>
      </c>
      <c r="B4" s="18" t="s">
        <v>31</v>
      </c>
      <c r="C4" s="18">
        <v>673</v>
      </c>
      <c r="D4" s="18">
        <v>657</v>
      </c>
      <c r="E4" s="18">
        <v>657</v>
      </c>
      <c r="F4" s="20">
        <v>3</v>
      </c>
      <c r="G4" s="18">
        <f t="shared" si="0"/>
        <v>1971</v>
      </c>
      <c r="H4" s="18" t="s">
        <v>32</v>
      </c>
      <c r="I4" s="18">
        <v>381</v>
      </c>
      <c r="J4" s="18">
        <v>6</v>
      </c>
      <c r="K4" s="18">
        <f t="shared" si="1"/>
        <v>2286</v>
      </c>
      <c r="L4" s="18">
        <f t="shared" si="2"/>
        <v>4257</v>
      </c>
    </row>
    <row r="5" ht="18" customHeight="1" spans="1:12">
      <c r="A5" s="18">
        <v>3</v>
      </c>
      <c r="B5" s="18" t="s">
        <v>33</v>
      </c>
      <c r="C5" s="18">
        <v>628</v>
      </c>
      <c r="D5" s="18">
        <v>692</v>
      </c>
      <c r="E5" s="18">
        <v>692</v>
      </c>
      <c r="F5" s="20">
        <v>3</v>
      </c>
      <c r="G5" s="18">
        <f t="shared" si="0"/>
        <v>2076</v>
      </c>
      <c r="H5" s="18" t="s">
        <v>34</v>
      </c>
      <c r="I5" s="18">
        <v>178</v>
      </c>
      <c r="J5" s="18">
        <v>9</v>
      </c>
      <c r="K5" s="18">
        <f t="shared" si="1"/>
        <v>1602</v>
      </c>
      <c r="L5" s="18">
        <f t="shared" si="2"/>
        <v>3678</v>
      </c>
    </row>
    <row r="6" ht="18" customHeight="1" spans="1:12">
      <c r="A6" s="18">
        <v>4</v>
      </c>
      <c r="B6" s="18" t="s">
        <v>35</v>
      </c>
      <c r="C6" s="18">
        <v>328</v>
      </c>
      <c r="D6" s="18">
        <v>368</v>
      </c>
      <c r="E6" s="18">
        <v>368</v>
      </c>
      <c r="F6" s="20">
        <v>3</v>
      </c>
      <c r="G6" s="18">
        <f t="shared" si="0"/>
        <v>1104</v>
      </c>
      <c r="H6" s="18" t="s">
        <v>36</v>
      </c>
      <c r="I6" s="18">
        <v>121</v>
      </c>
      <c r="J6" s="18">
        <v>12</v>
      </c>
      <c r="K6" s="18">
        <f t="shared" si="1"/>
        <v>1452</v>
      </c>
      <c r="L6" s="18">
        <f t="shared" si="2"/>
        <v>2556</v>
      </c>
    </row>
    <row r="7" ht="18" customHeight="1" spans="1:12">
      <c r="A7" s="18">
        <v>5</v>
      </c>
      <c r="B7" s="18" t="s">
        <v>37</v>
      </c>
      <c r="C7" s="18">
        <v>337</v>
      </c>
      <c r="D7" s="18">
        <v>332</v>
      </c>
      <c r="E7" s="18">
        <v>332</v>
      </c>
      <c r="F7" s="20">
        <v>3</v>
      </c>
      <c r="G7" s="18">
        <f t="shared" si="0"/>
        <v>996</v>
      </c>
      <c r="H7" s="18" t="s">
        <v>38</v>
      </c>
      <c r="I7" s="18">
        <v>52</v>
      </c>
      <c r="J7" s="18">
        <v>15</v>
      </c>
      <c r="K7" s="18">
        <f t="shared" si="1"/>
        <v>780</v>
      </c>
      <c r="L7" s="18">
        <f t="shared" si="2"/>
        <v>1776</v>
      </c>
    </row>
    <row r="8" ht="18" customHeight="1" spans="1:12">
      <c r="A8" s="18">
        <v>6</v>
      </c>
      <c r="B8" s="18" t="s">
        <v>39</v>
      </c>
      <c r="C8" s="20">
        <v>697</v>
      </c>
      <c r="D8" s="20">
        <v>644</v>
      </c>
      <c r="E8" s="20">
        <v>644</v>
      </c>
      <c r="F8" s="20">
        <v>3</v>
      </c>
      <c r="G8" s="18">
        <f t="shared" si="0"/>
        <v>1932</v>
      </c>
      <c r="H8" s="18" t="s">
        <v>40</v>
      </c>
      <c r="I8" s="18">
        <v>37</v>
      </c>
      <c r="J8" s="18">
        <v>18</v>
      </c>
      <c r="K8" s="18">
        <f t="shared" si="1"/>
        <v>666</v>
      </c>
      <c r="L8" s="18">
        <f t="shared" si="2"/>
        <v>2598</v>
      </c>
    </row>
    <row r="9" ht="18" customHeight="1" spans="1:12">
      <c r="A9" s="18">
        <v>7</v>
      </c>
      <c r="B9" s="18" t="s">
        <v>41</v>
      </c>
      <c r="C9" s="20">
        <v>636</v>
      </c>
      <c r="D9" s="20">
        <v>644</v>
      </c>
      <c r="E9" s="20">
        <v>644</v>
      </c>
      <c r="F9" s="20">
        <v>3</v>
      </c>
      <c r="G9" s="18">
        <f t="shared" si="0"/>
        <v>1932</v>
      </c>
      <c r="H9" s="18" t="s">
        <v>42</v>
      </c>
      <c r="I9" s="18">
        <v>19</v>
      </c>
      <c r="J9" s="18">
        <v>21</v>
      </c>
      <c r="K9" s="18">
        <f t="shared" si="1"/>
        <v>399</v>
      </c>
      <c r="L9" s="18">
        <f t="shared" si="2"/>
        <v>2331</v>
      </c>
    </row>
    <row r="10" ht="18" customHeight="1" spans="1:12">
      <c r="A10" s="18">
        <v>8</v>
      </c>
      <c r="B10" s="18" t="s">
        <v>43</v>
      </c>
      <c r="C10" s="20">
        <v>641</v>
      </c>
      <c r="D10" s="20">
        <v>667</v>
      </c>
      <c r="E10" s="20">
        <v>667</v>
      </c>
      <c r="F10" s="20">
        <v>3</v>
      </c>
      <c r="G10" s="18">
        <f t="shared" si="0"/>
        <v>2001</v>
      </c>
      <c r="H10" s="18" t="s">
        <v>44</v>
      </c>
      <c r="I10" s="18">
        <v>13</v>
      </c>
      <c r="J10" s="18">
        <v>24</v>
      </c>
      <c r="K10" s="18">
        <f t="shared" si="1"/>
        <v>312</v>
      </c>
      <c r="L10" s="18">
        <f t="shared" si="2"/>
        <v>2313</v>
      </c>
    </row>
    <row r="11" ht="18" customHeight="1" spans="1:12">
      <c r="A11" s="18">
        <v>9</v>
      </c>
      <c r="B11" s="18" t="s">
        <v>45</v>
      </c>
      <c r="C11" s="20">
        <v>690</v>
      </c>
      <c r="D11" s="20">
        <v>676</v>
      </c>
      <c r="E11" s="20">
        <v>676</v>
      </c>
      <c r="F11" s="20">
        <v>3</v>
      </c>
      <c r="G11" s="18">
        <f t="shared" si="0"/>
        <v>2028</v>
      </c>
      <c r="H11" s="18" t="s">
        <v>46</v>
      </c>
      <c r="I11" s="18">
        <v>9</v>
      </c>
      <c r="J11" s="18">
        <v>27</v>
      </c>
      <c r="K11" s="18">
        <f t="shared" si="1"/>
        <v>243</v>
      </c>
      <c r="L11" s="18">
        <f t="shared" si="2"/>
        <v>2271</v>
      </c>
    </row>
    <row r="12" ht="18" customHeight="1" spans="1:12">
      <c r="A12" s="18">
        <v>10</v>
      </c>
      <c r="B12" s="18" t="s">
        <v>47</v>
      </c>
      <c r="C12" s="20">
        <v>620</v>
      </c>
      <c r="D12" s="20">
        <v>676</v>
      </c>
      <c r="E12" s="20">
        <v>676</v>
      </c>
      <c r="F12" s="20">
        <v>3</v>
      </c>
      <c r="G12" s="18">
        <f t="shared" si="0"/>
        <v>2028</v>
      </c>
      <c r="H12" s="18" t="s">
        <v>48</v>
      </c>
      <c r="I12" s="18">
        <v>5</v>
      </c>
      <c r="J12" s="18">
        <v>30</v>
      </c>
      <c r="K12" s="18">
        <f t="shared" si="1"/>
        <v>150</v>
      </c>
      <c r="L12" s="18">
        <f t="shared" si="2"/>
        <v>2178</v>
      </c>
    </row>
    <row r="13" ht="18" customHeight="1" spans="1:12">
      <c r="A13" s="18">
        <v>11</v>
      </c>
      <c r="B13" s="18" t="s">
        <v>49</v>
      </c>
      <c r="C13" s="20">
        <v>329</v>
      </c>
      <c r="D13" s="20">
        <v>356</v>
      </c>
      <c r="E13" s="20">
        <v>356</v>
      </c>
      <c r="F13" s="20">
        <v>3</v>
      </c>
      <c r="G13" s="18">
        <f t="shared" si="0"/>
        <v>1068</v>
      </c>
      <c r="H13" s="18" t="s">
        <v>50</v>
      </c>
      <c r="I13" s="18">
        <v>14</v>
      </c>
      <c r="J13" s="18">
        <v>33</v>
      </c>
      <c r="K13" s="18">
        <f t="shared" si="1"/>
        <v>462</v>
      </c>
      <c r="L13" s="18">
        <f t="shared" si="2"/>
        <v>1530</v>
      </c>
    </row>
    <row r="14" ht="18" customHeight="1" spans="1:12">
      <c r="A14" s="18">
        <v>12</v>
      </c>
      <c r="B14" s="18" t="s">
        <v>51</v>
      </c>
      <c r="C14" s="20">
        <v>372</v>
      </c>
      <c r="D14" s="20">
        <v>341</v>
      </c>
      <c r="E14" s="20">
        <v>341</v>
      </c>
      <c r="F14" s="20">
        <v>3</v>
      </c>
      <c r="G14" s="18">
        <f t="shared" si="0"/>
        <v>1023</v>
      </c>
      <c r="H14" s="18" t="s">
        <v>52</v>
      </c>
      <c r="I14" s="18">
        <v>2</v>
      </c>
      <c r="J14" s="18">
        <v>36</v>
      </c>
      <c r="K14" s="18">
        <f t="shared" si="1"/>
        <v>72</v>
      </c>
      <c r="L14" s="18">
        <f t="shared" si="2"/>
        <v>1095</v>
      </c>
    </row>
    <row r="15" ht="18" customHeight="1" spans="1:12">
      <c r="A15" s="18">
        <v>13</v>
      </c>
      <c r="B15" s="18" t="s">
        <v>53</v>
      </c>
      <c r="C15" s="20">
        <v>685</v>
      </c>
      <c r="D15" s="20">
        <v>659</v>
      </c>
      <c r="E15" s="20">
        <v>659</v>
      </c>
      <c r="F15" s="20">
        <v>3</v>
      </c>
      <c r="G15" s="18">
        <f t="shared" si="0"/>
        <v>1977</v>
      </c>
      <c r="H15" s="18" t="s">
        <v>54</v>
      </c>
      <c r="I15" s="18">
        <v>6</v>
      </c>
      <c r="J15" s="18">
        <v>39</v>
      </c>
      <c r="K15" s="18">
        <f t="shared" si="1"/>
        <v>234</v>
      </c>
      <c r="L15" s="18">
        <f t="shared" si="2"/>
        <v>2211</v>
      </c>
    </row>
    <row r="16" ht="18" customHeight="1" spans="1:12">
      <c r="A16" s="18">
        <v>14</v>
      </c>
      <c r="B16" s="18" t="s">
        <v>55</v>
      </c>
      <c r="C16" s="20">
        <v>664</v>
      </c>
      <c r="D16" s="20">
        <v>641</v>
      </c>
      <c r="E16" s="20">
        <v>641</v>
      </c>
      <c r="F16" s="20">
        <v>3</v>
      </c>
      <c r="G16" s="18">
        <f t="shared" si="0"/>
        <v>1923</v>
      </c>
      <c r="H16" s="18" t="s">
        <v>56</v>
      </c>
      <c r="I16" s="18">
        <v>2</v>
      </c>
      <c r="J16" s="18">
        <v>42</v>
      </c>
      <c r="K16" s="18">
        <f t="shared" si="1"/>
        <v>84</v>
      </c>
      <c r="L16" s="18">
        <f t="shared" si="2"/>
        <v>2007</v>
      </c>
    </row>
    <row r="17" ht="18" customHeight="1" spans="1:12">
      <c r="A17" s="18">
        <v>15</v>
      </c>
      <c r="B17" s="18" t="s">
        <v>57</v>
      </c>
      <c r="C17" s="20">
        <v>653</v>
      </c>
      <c r="D17" s="20">
        <v>681</v>
      </c>
      <c r="E17" s="20">
        <v>681</v>
      </c>
      <c r="F17" s="20">
        <v>3</v>
      </c>
      <c r="G17" s="18">
        <f t="shared" si="0"/>
        <v>2043</v>
      </c>
      <c r="H17" s="18" t="s">
        <v>58</v>
      </c>
      <c r="I17" s="18">
        <v>1</v>
      </c>
      <c r="J17" s="18">
        <v>45</v>
      </c>
      <c r="K17" s="18">
        <f t="shared" si="1"/>
        <v>45</v>
      </c>
      <c r="L17" s="18">
        <f t="shared" si="2"/>
        <v>2088</v>
      </c>
    </row>
    <row r="18" ht="18" customHeight="1" spans="1:12">
      <c r="A18" s="18">
        <v>16</v>
      </c>
      <c r="B18" s="18" t="s">
        <v>59</v>
      </c>
      <c r="C18" s="20">
        <v>674</v>
      </c>
      <c r="D18" s="20">
        <v>644</v>
      </c>
      <c r="E18" s="20">
        <v>644</v>
      </c>
      <c r="F18" s="20">
        <v>3</v>
      </c>
      <c r="G18" s="18">
        <f t="shared" si="0"/>
        <v>1932</v>
      </c>
      <c r="H18" s="18" t="s">
        <v>60</v>
      </c>
      <c r="I18" s="18">
        <v>0</v>
      </c>
      <c r="J18" s="18">
        <v>0</v>
      </c>
      <c r="K18" s="18">
        <f t="shared" si="1"/>
        <v>0</v>
      </c>
      <c r="L18" s="18">
        <f t="shared" si="2"/>
        <v>1932</v>
      </c>
    </row>
    <row r="19" ht="18" customHeight="1" spans="1:12">
      <c r="A19" s="18">
        <v>17</v>
      </c>
      <c r="B19" s="18" t="s">
        <v>61</v>
      </c>
      <c r="C19" s="20">
        <v>614</v>
      </c>
      <c r="D19" s="20">
        <v>675</v>
      </c>
      <c r="E19" s="20">
        <v>675</v>
      </c>
      <c r="F19" s="20">
        <v>3</v>
      </c>
      <c r="G19" s="18">
        <f t="shared" si="0"/>
        <v>2025</v>
      </c>
      <c r="H19" s="18" t="s">
        <v>62</v>
      </c>
      <c r="I19" s="18">
        <v>2</v>
      </c>
      <c r="J19" s="18">
        <v>51</v>
      </c>
      <c r="K19" s="18">
        <f t="shared" si="1"/>
        <v>102</v>
      </c>
      <c r="L19" s="18">
        <f t="shared" si="2"/>
        <v>2127</v>
      </c>
    </row>
    <row r="20" ht="18" customHeight="1" spans="1:12">
      <c r="A20" s="18">
        <v>18</v>
      </c>
      <c r="B20" s="18" t="s">
        <v>63</v>
      </c>
      <c r="C20" s="20">
        <v>343</v>
      </c>
      <c r="D20" s="20">
        <v>381</v>
      </c>
      <c r="E20" s="20">
        <v>381</v>
      </c>
      <c r="F20" s="20">
        <v>3</v>
      </c>
      <c r="G20" s="18">
        <f t="shared" si="0"/>
        <v>1143</v>
      </c>
      <c r="H20" s="18" t="s">
        <v>64</v>
      </c>
      <c r="I20" s="18">
        <v>2</v>
      </c>
      <c r="J20" s="18">
        <v>54</v>
      </c>
      <c r="K20" s="18">
        <f t="shared" si="1"/>
        <v>108</v>
      </c>
      <c r="L20" s="18">
        <f t="shared" si="2"/>
        <v>1251</v>
      </c>
    </row>
    <row r="21" ht="18" customHeight="1" spans="1:12">
      <c r="A21" s="18">
        <v>19</v>
      </c>
      <c r="B21" s="18" t="s">
        <v>65</v>
      </c>
      <c r="C21" s="20">
        <v>339</v>
      </c>
      <c r="D21" s="20">
        <v>333</v>
      </c>
      <c r="E21" s="20">
        <v>333</v>
      </c>
      <c r="F21" s="20">
        <v>3</v>
      </c>
      <c r="G21" s="18">
        <f t="shared" si="0"/>
        <v>999</v>
      </c>
      <c r="H21" s="18" t="s">
        <v>66</v>
      </c>
      <c r="I21" s="18">
        <v>0</v>
      </c>
      <c r="J21" s="20">
        <v>0</v>
      </c>
      <c r="K21" s="18">
        <f t="shared" si="1"/>
        <v>0</v>
      </c>
      <c r="L21" s="18">
        <f t="shared" si="2"/>
        <v>999</v>
      </c>
    </row>
    <row r="22" ht="18" customHeight="1" spans="1:12">
      <c r="A22" s="18">
        <v>20</v>
      </c>
      <c r="B22" s="18" t="s">
        <v>67</v>
      </c>
      <c r="C22" s="20">
        <v>710</v>
      </c>
      <c r="D22" s="20">
        <v>650</v>
      </c>
      <c r="E22" s="20">
        <v>650</v>
      </c>
      <c r="F22" s="20">
        <v>3</v>
      </c>
      <c r="G22" s="18">
        <f t="shared" si="0"/>
        <v>1950</v>
      </c>
      <c r="H22" s="18" t="s">
        <v>68</v>
      </c>
      <c r="I22" s="18">
        <v>0</v>
      </c>
      <c r="J22" s="20">
        <v>0</v>
      </c>
      <c r="K22" s="18">
        <f t="shared" si="1"/>
        <v>0</v>
      </c>
      <c r="L22" s="18">
        <f t="shared" si="2"/>
        <v>1950</v>
      </c>
    </row>
    <row r="23" ht="18" customHeight="1" spans="1:12">
      <c r="A23" s="18">
        <v>21</v>
      </c>
      <c r="B23" s="18" t="s">
        <v>69</v>
      </c>
      <c r="C23" s="20">
        <v>657</v>
      </c>
      <c r="D23" s="20">
        <v>666</v>
      </c>
      <c r="E23" s="20">
        <v>666</v>
      </c>
      <c r="F23" s="20">
        <v>3</v>
      </c>
      <c r="G23" s="18">
        <f t="shared" si="0"/>
        <v>1998</v>
      </c>
      <c r="H23" s="18" t="s">
        <v>70</v>
      </c>
      <c r="I23" s="18">
        <v>0</v>
      </c>
      <c r="J23" s="20">
        <v>0</v>
      </c>
      <c r="K23" s="18">
        <f t="shared" si="1"/>
        <v>0</v>
      </c>
      <c r="L23" s="18">
        <f t="shared" si="2"/>
        <v>1998</v>
      </c>
    </row>
    <row r="24" ht="18" customHeight="1" spans="1:12">
      <c r="A24" s="18">
        <v>22</v>
      </c>
      <c r="B24" s="18" t="s">
        <v>71</v>
      </c>
      <c r="C24" s="20">
        <v>636</v>
      </c>
      <c r="D24" s="20">
        <v>628</v>
      </c>
      <c r="E24" s="20">
        <v>628</v>
      </c>
      <c r="F24" s="20">
        <v>3</v>
      </c>
      <c r="G24" s="18">
        <f t="shared" si="0"/>
        <v>1884</v>
      </c>
      <c r="H24" s="18" t="s">
        <v>72</v>
      </c>
      <c r="I24" s="18">
        <v>0</v>
      </c>
      <c r="J24" s="20">
        <v>0</v>
      </c>
      <c r="K24" s="18">
        <f t="shared" si="1"/>
        <v>0</v>
      </c>
      <c r="L24" s="18">
        <f t="shared" si="2"/>
        <v>1884</v>
      </c>
    </row>
    <row r="25" ht="18" customHeight="1" spans="1:12">
      <c r="A25" s="18">
        <v>23</v>
      </c>
      <c r="B25" s="18" t="s">
        <v>73</v>
      </c>
      <c r="C25" s="20">
        <v>620</v>
      </c>
      <c r="D25" s="20">
        <v>637</v>
      </c>
      <c r="E25" s="20">
        <v>637</v>
      </c>
      <c r="F25" s="20">
        <v>3</v>
      </c>
      <c r="G25" s="18">
        <f t="shared" si="0"/>
        <v>1911</v>
      </c>
      <c r="H25" s="18" t="s">
        <v>74</v>
      </c>
      <c r="I25" s="18">
        <v>0</v>
      </c>
      <c r="J25" s="20">
        <v>0</v>
      </c>
      <c r="K25" s="18">
        <f t="shared" si="1"/>
        <v>0</v>
      </c>
      <c r="L25" s="18">
        <f t="shared" si="2"/>
        <v>1911</v>
      </c>
    </row>
    <row r="26" ht="18" customHeight="1" spans="1:12">
      <c r="A26" s="18">
        <v>24</v>
      </c>
      <c r="B26" s="18" t="s">
        <v>75</v>
      </c>
      <c r="C26" s="20">
        <v>625</v>
      </c>
      <c r="D26" s="20">
        <v>675</v>
      </c>
      <c r="E26" s="20">
        <v>675</v>
      </c>
      <c r="F26" s="20">
        <v>3</v>
      </c>
      <c r="G26" s="18">
        <f t="shared" si="0"/>
        <v>2025</v>
      </c>
      <c r="H26" s="18" t="s">
        <v>76</v>
      </c>
      <c r="I26" s="18">
        <v>0</v>
      </c>
      <c r="J26" s="20">
        <v>0</v>
      </c>
      <c r="K26" s="18">
        <f t="shared" si="1"/>
        <v>0</v>
      </c>
      <c r="L26" s="18">
        <f t="shared" si="2"/>
        <v>2025</v>
      </c>
    </row>
    <row r="27" ht="18" customHeight="1" spans="1:12">
      <c r="A27" s="18">
        <v>25</v>
      </c>
      <c r="B27" s="18" t="s">
        <v>77</v>
      </c>
      <c r="C27" s="20">
        <v>337</v>
      </c>
      <c r="D27" s="20">
        <v>375</v>
      </c>
      <c r="E27" s="20">
        <v>375</v>
      </c>
      <c r="F27" s="20">
        <v>3</v>
      </c>
      <c r="G27" s="18">
        <f t="shared" si="0"/>
        <v>1125</v>
      </c>
      <c r="H27" s="18" t="s">
        <v>78</v>
      </c>
      <c r="I27" s="18">
        <v>0</v>
      </c>
      <c r="J27" s="20">
        <v>0</v>
      </c>
      <c r="K27" s="18">
        <f t="shared" si="1"/>
        <v>0</v>
      </c>
      <c r="L27" s="18">
        <f t="shared" si="2"/>
        <v>1125</v>
      </c>
    </row>
    <row r="28" ht="18" customHeight="1" spans="1:12">
      <c r="A28" s="18">
        <v>26</v>
      </c>
      <c r="B28" s="18" t="s">
        <v>79</v>
      </c>
      <c r="C28" s="20">
        <v>323</v>
      </c>
      <c r="D28" s="20">
        <v>309</v>
      </c>
      <c r="E28" s="20">
        <v>309</v>
      </c>
      <c r="F28" s="20">
        <v>3</v>
      </c>
      <c r="G28" s="18">
        <f t="shared" si="0"/>
        <v>927</v>
      </c>
      <c r="H28" s="18" t="s">
        <v>80</v>
      </c>
      <c r="I28" s="18">
        <v>0</v>
      </c>
      <c r="J28" s="20">
        <v>0</v>
      </c>
      <c r="K28" s="18">
        <f t="shared" si="1"/>
        <v>0</v>
      </c>
      <c r="L28" s="18">
        <f t="shared" si="2"/>
        <v>927</v>
      </c>
    </row>
    <row r="29" ht="18" customHeight="1" spans="1:12">
      <c r="A29" s="18">
        <v>27</v>
      </c>
      <c r="B29" s="18" t="s">
        <v>81</v>
      </c>
      <c r="C29" s="20">
        <v>679</v>
      </c>
      <c r="D29" s="20">
        <v>667</v>
      </c>
      <c r="E29" s="20">
        <v>667</v>
      </c>
      <c r="F29" s="20">
        <v>3</v>
      </c>
      <c r="G29" s="18">
        <f t="shared" si="0"/>
        <v>2001</v>
      </c>
      <c r="H29" s="18" t="s">
        <v>82</v>
      </c>
      <c r="I29" s="18">
        <v>0</v>
      </c>
      <c r="J29" s="20">
        <v>0</v>
      </c>
      <c r="K29" s="18">
        <f t="shared" si="1"/>
        <v>0</v>
      </c>
      <c r="L29" s="18">
        <f t="shared" si="2"/>
        <v>2001</v>
      </c>
    </row>
    <row r="30" ht="18" customHeight="1" spans="1:12">
      <c r="A30" s="18">
        <v>28</v>
      </c>
      <c r="B30" s="18" t="s">
        <v>83</v>
      </c>
      <c r="C30" s="20">
        <v>684</v>
      </c>
      <c r="D30" s="20">
        <v>666</v>
      </c>
      <c r="E30" s="20">
        <v>666</v>
      </c>
      <c r="F30" s="20">
        <v>3</v>
      </c>
      <c r="G30" s="18">
        <f t="shared" si="0"/>
        <v>1998</v>
      </c>
      <c r="H30" s="18" t="s">
        <v>84</v>
      </c>
      <c r="I30" s="18">
        <v>0</v>
      </c>
      <c r="J30" s="20">
        <v>0</v>
      </c>
      <c r="K30" s="18">
        <f t="shared" si="1"/>
        <v>0</v>
      </c>
      <c r="L30" s="18">
        <f t="shared" si="2"/>
        <v>1998</v>
      </c>
    </row>
    <row r="31" ht="18" customHeight="1" spans="1:12">
      <c r="A31" s="18">
        <v>29</v>
      </c>
      <c r="B31" s="18" t="s">
        <v>85</v>
      </c>
      <c r="C31" s="20">
        <v>667</v>
      </c>
      <c r="D31" s="20">
        <v>691</v>
      </c>
      <c r="E31" s="20">
        <v>691</v>
      </c>
      <c r="F31" s="20">
        <v>3</v>
      </c>
      <c r="G31" s="18">
        <f t="shared" si="0"/>
        <v>2073</v>
      </c>
      <c r="H31" s="18" t="s">
        <v>86</v>
      </c>
      <c r="I31" s="18">
        <v>0</v>
      </c>
      <c r="J31" s="20">
        <v>0</v>
      </c>
      <c r="K31" s="18">
        <f t="shared" si="1"/>
        <v>0</v>
      </c>
      <c r="L31" s="18">
        <f t="shared" si="2"/>
        <v>2073</v>
      </c>
    </row>
    <row r="32" ht="18" customHeight="1" spans="1:12">
      <c r="A32" s="18">
        <v>30</v>
      </c>
      <c r="B32" s="18" t="s">
        <v>87</v>
      </c>
      <c r="C32" s="20">
        <v>655</v>
      </c>
      <c r="D32" s="20">
        <v>631</v>
      </c>
      <c r="E32" s="20">
        <v>631</v>
      </c>
      <c r="F32" s="20">
        <v>3</v>
      </c>
      <c r="G32" s="18">
        <f t="shared" si="0"/>
        <v>1893</v>
      </c>
      <c r="H32" s="18" t="s">
        <v>88</v>
      </c>
      <c r="I32" s="18">
        <v>0</v>
      </c>
      <c r="J32" s="20">
        <v>0</v>
      </c>
      <c r="K32" s="18">
        <f t="shared" si="1"/>
        <v>0</v>
      </c>
      <c r="L32" s="18">
        <f t="shared" si="2"/>
        <v>1893</v>
      </c>
    </row>
    <row r="33" ht="18" customHeight="1" spans="1:12">
      <c r="A33" s="20">
        <v>31</v>
      </c>
      <c r="B33" s="18" t="s">
        <v>89</v>
      </c>
      <c r="C33" s="20">
        <v>630</v>
      </c>
      <c r="D33" s="20">
        <v>684</v>
      </c>
      <c r="E33" s="20">
        <v>684</v>
      </c>
      <c r="F33" s="20">
        <v>3</v>
      </c>
      <c r="G33" s="18">
        <f t="shared" si="0"/>
        <v>2052</v>
      </c>
      <c r="H33" s="18" t="s">
        <v>90</v>
      </c>
      <c r="I33" s="18">
        <v>0</v>
      </c>
      <c r="J33" s="20">
        <v>0</v>
      </c>
      <c r="K33" s="18">
        <f t="shared" si="1"/>
        <v>0</v>
      </c>
      <c r="L33" s="18">
        <f t="shared" si="2"/>
        <v>2052</v>
      </c>
    </row>
    <row r="34" ht="18" customHeight="1" spans="1:12">
      <c r="A34" s="18" t="s">
        <v>23</v>
      </c>
      <c r="B34" s="11"/>
      <c r="C34" s="20">
        <v>17825</v>
      </c>
      <c r="D34" s="20">
        <v>18032</v>
      </c>
      <c r="E34" s="20">
        <v>18032</v>
      </c>
      <c r="F34" s="20">
        <v>3</v>
      </c>
      <c r="G34" s="18">
        <f t="shared" si="0"/>
        <v>54096</v>
      </c>
      <c r="H34" s="20"/>
      <c r="I34" s="20"/>
      <c r="J34" s="11"/>
      <c r="K34" s="18">
        <v>14100</v>
      </c>
      <c r="L34" s="18">
        <f t="shared" si="2"/>
        <v>68196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9" workbookViewId="0">
      <selection activeCell="I3" sqref="I3:I32"/>
    </sheetView>
  </sheetViews>
  <sheetFormatPr defaultColWidth="13.125" defaultRowHeight="22" customHeight="1"/>
  <cols>
    <col min="1" max="1" width="14.625" customWidth="1"/>
    <col min="2" max="2" width="17.875" customWidth="1"/>
    <col min="3" max="3" width="20" customWidth="1"/>
    <col min="4" max="4" width="19" customWidth="1"/>
    <col min="5" max="5" width="18.75" customWidth="1"/>
    <col min="6" max="6" width="20.5" customWidth="1"/>
    <col min="7" max="7" width="19.625" customWidth="1"/>
    <col min="8" max="8" width="12.875" customWidth="1"/>
    <col min="9" max="9" width="10.125" customWidth="1"/>
    <col min="10" max="10" width="11.25" customWidth="1"/>
    <col min="11" max="11" width="21.375" customWidth="1"/>
    <col min="12" max="12" width="18" customWidth="1"/>
    <col min="13" max="16384" width="13.125" customWidth="1"/>
  </cols>
  <sheetData>
    <row r="1" ht="30" customHeight="1" spans="1:12">
      <c r="A1" s="27" t="s">
        <v>91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customHeight="1" spans="1:12">
      <c r="A2" s="18" t="s">
        <v>3</v>
      </c>
      <c r="B2" s="18" t="s">
        <v>16</v>
      </c>
      <c r="C2" s="18" t="s">
        <v>17</v>
      </c>
      <c r="D2" s="18" t="s">
        <v>18</v>
      </c>
      <c r="E2" s="18" t="s">
        <v>19</v>
      </c>
      <c r="F2" s="28" t="s">
        <v>21</v>
      </c>
      <c r="G2" s="3" t="s">
        <v>26</v>
      </c>
      <c r="H2" s="19" t="s">
        <v>27</v>
      </c>
      <c r="I2" s="17"/>
      <c r="J2" s="24"/>
      <c r="K2" s="3" t="s">
        <v>28</v>
      </c>
      <c r="L2" s="18" t="s">
        <v>22</v>
      </c>
    </row>
    <row r="3" ht="20" customHeight="1" spans="1:12">
      <c r="A3" s="18">
        <v>1</v>
      </c>
      <c r="B3" s="18" t="s">
        <v>92</v>
      </c>
      <c r="C3" s="18">
        <v>354</v>
      </c>
      <c r="D3" s="18">
        <v>346</v>
      </c>
      <c r="E3" s="18">
        <v>354</v>
      </c>
      <c r="F3" s="29">
        <v>3</v>
      </c>
      <c r="G3" s="18">
        <f>E3*F3</f>
        <v>1062</v>
      </c>
      <c r="H3" s="18" t="s">
        <v>30</v>
      </c>
      <c r="I3" s="18">
        <v>1506</v>
      </c>
      <c r="J3" s="18">
        <v>3</v>
      </c>
      <c r="K3" s="18">
        <f>I3*J3</f>
        <v>4518</v>
      </c>
      <c r="L3" s="18">
        <f>G3+K3</f>
        <v>5580</v>
      </c>
    </row>
    <row r="4" ht="20" customHeight="1" spans="1:12">
      <c r="A4" s="18">
        <v>2</v>
      </c>
      <c r="B4" s="18" t="s">
        <v>93</v>
      </c>
      <c r="C4" s="18">
        <v>309</v>
      </c>
      <c r="D4" s="18">
        <v>338</v>
      </c>
      <c r="E4" s="18">
        <v>309</v>
      </c>
      <c r="F4" s="29">
        <v>3</v>
      </c>
      <c r="G4" s="18">
        <f t="shared" ref="G4:G33" si="0">E4*F4</f>
        <v>927</v>
      </c>
      <c r="H4" s="18" t="s">
        <v>32</v>
      </c>
      <c r="I4" s="18">
        <v>349</v>
      </c>
      <c r="J4" s="18">
        <v>6</v>
      </c>
      <c r="K4" s="18">
        <f t="shared" ref="K4:K33" si="1">I4*J4</f>
        <v>2094</v>
      </c>
      <c r="L4" s="18">
        <f t="shared" ref="L4:L33" si="2">G4+K4</f>
        <v>3021</v>
      </c>
    </row>
    <row r="5" ht="20" customHeight="1" spans="1:12">
      <c r="A5" s="18">
        <v>3</v>
      </c>
      <c r="B5" s="18" t="s">
        <v>94</v>
      </c>
      <c r="C5" s="18">
        <v>716</v>
      </c>
      <c r="D5" s="18">
        <v>661</v>
      </c>
      <c r="E5" s="18">
        <v>716</v>
      </c>
      <c r="F5" s="29">
        <v>3</v>
      </c>
      <c r="G5" s="18">
        <f t="shared" si="0"/>
        <v>2148</v>
      </c>
      <c r="H5" s="18" t="s">
        <v>34</v>
      </c>
      <c r="I5" s="18">
        <v>138</v>
      </c>
      <c r="J5" s="18">
        <v>9</v>
      </c>
      <c r="K5" s="18">
        <f t="shared" si="1"/>
        <v>1242</v>
      </c>
      <c r="L5" s="18">
        <f t="shared" si="2"/>
        <v>3390</v>
      </c>
    </row>
    <row r="6" ht="20" customHeight="1" spans="1:12">
      <c r="A6" s="18">
        <v>4</v>
      </c>
      <c r="B6" s="18" t="s">
        <v>95</v>
      </c>
      <c r="C6" s="18">
        <v>664</v>
      </c>
      <c r="D6" s="18">
        <v>699</v>
      </c>
      <c r="E6" s="18">
        <v>664</v>
      </c>
      <c r="F6" s="18">
        <v>3</v>
      </c>
      <c r="G6" s="18">
        <f t="shared" si="0"/>
        <v>1992</v>
      </c>
      <c r="H6" s="18" t="s">
        <v>36</v>
      </c>
      <c r="I6" s="18">
        <v>92</v>
      </c>
      <c r="J6" s="18">
        <v>12</v>
      </c>
      <c r="K6" s="18">
        <f t="shared" si="1"/>
        <v>1104</v>
      </c>
      <c r="L6" s="18">
        <f t="shared" si="2"/>
        <v>3096</v>
      </c>
    </row>
    <row r="7" ht="20" customHeight="1" spans="1:12">
      <c r="A7" s="18">
        <v>5</v>
      </c>
      <c r="B7" s="18" t="s">
        <v>96</v>
      </c>
      <c r="C7" s="18">
        <v>411</v>
      </c>
      <c r="D7" s="18">
        <v>420</v>
      </c>
      <c r="E7" s="18">
        <v>411</v>
      </c>
      <c r="F7" s="18">
        <v>3</v>
      </c>
      <c r="G7" s="18">
        <f t="shared" si="0"/>
        <v>1233</v>
      </c>
      <c r="H7" s="18" t="s">
        <v>38</v>
      </c>
      <c r="I7" s="18">
        <v>45</v>
      </c>
      <c r="J7" s="18">
        <v>15</v>
      </c>
      <c r="K7" s="18">
        <f t="shared" si="1"/>
        <v>675</v>
      </c>
      <c r="L7" s="18">
        <f t="shared" si="2"/>
        <v>1908</v>
      </c>
    </row>
    <row r="8" ht="20" customHeight="1" spans="1:12">
      <c r="A8" s="18">
        <v>6</v>
      </c>
      <c r="B8" s="18" t="s">
        <v>97</v>
      </c>
      <c r="C8" s="20">
        <v>700</v>
      </c>
      <c r="D8" s="20">
        <v>646</v>
      </c>
      <c r="E8" s="20">
        <v>700</v>
      </c>
      <c r="F8" s="18">
        <v>3</v>
      </c>
      <c r="G8" s="18">
        <f t="shared" si="0"/>
        <v>2100</v>
      </c>
      <c r="H8" s="18" t="s">
        <v>40</v>
      </c>
      <c r="I8" s="18">
        <v>26</v>
      </c>
      <c r="J8" s="18">
        <v>18</v>
      </c>
      <c r="K8" s="18">
        <f t="shared" si="1"/>
        <v>468</v>
      </c>
      <c r="L8" s="18">
        <f t="shared" si="2"/>
        <v>2568</v>
      </c>
    </row>
    <row r="9" ht="20" customHeight="1" spans="1:12">
      <c r="A9" s="18">
        <v>7</v>
      </c>
      <c r="B9" s="18" t="s">
        <v>98</v>
      </c>
      <c r="C9" s="20">
        <v>655</v>
      </c>
      <c r="D9" s="20">
        <v>678</v>
      </c>
      <c r="E9" s="20">
        <v>655</v>
      </c>
      <c r="F9" s="18">
        <v>3</v>
      </c>
      <c r="G9" s="18">
        <f t="shared" si="0"/>
        <v>1965</v>
      </c>
      <c r="H9" s="18" t="s">
        <v>42</v>
      </c>
      <c r="I9" s="18">
        <v>18</v>
      </c>
      <c r="J9" s="18">
        <v>21</v>
      </c>
      <c r="K9" s="18">
        <f t="shared" si="1"/>
        <v>378</v>
      </c>
      <c r="L9" s="18">
        <f t="shared" si="2"/>
        <v>2343</v>
      </c>
    </row>
    <row r="10" ht="20" customHeight="1" spans="1:12">
      <c r="A10" s="18">
        <v>8</v>
      </c>
      <c r="B10" s="18" t="s">
        <v>99</v>
      </c>
      <c r="C10" s="20">
        <v>349</v>
      </c>
      <c r="D10" s="20">
        <v>413</v>
      </c>
      <c r="E10" s="20">
        <v>349</v>
      </c>
      <c r="F10" s="18">
        <v>3</v>
      </c>
      <c r="G10" s="18">
        <f t="shared" si="0"/>
        <v>1047</v>
      </c>
      <c r="H10" s="18" t="s">
        <v>44</v>
      </c>
      <c r="I10" s="18">
        <v>11</v>
      </c>
      <c r="J10" s="18">
        <v>24</v>
      </c>
      <c r="K10" s="18">
        <f t="shared" si="1"/>
        <v>264</v>
      </c>
      <c r="L10" s="18">
        <f t="shared" si="2"/>
        <v>1311</v>
      </c>
    </row>
    <row r="11" ht="20" customHeight="1" spans="1:12">
      <c r="A11" s="18">
        <v>9</v>
      </c>
      <c r="B11" s="18" t="s">
        <v>100</v>
      </c>
      <c r="C11" s="20">
        <v>357</v>
      </c>
      <c r="D11" s="20">
        <v>339</v>
      </c>
      <c r="E11" s="20">
        <v>357</v>
      </c>
      <c r="F11" s="18">
        <v>3</v>
      </c>
      <c r="G11" s="18">
        <f t="shared" si="0"/>
        <v>1071</v>
      </c>
      <c r="H11" s="18" t="s">
        <v>46</v>
      </c>
      <c r="I11" s="18">
        <v>8</v>
      </c>
      <c r="J11" s="18">
        <v>27</v>
      </c>
      <c r="K11" s="18">
        <f t="shared" si="1"/>
        <v>216</v>
      </c>
      <c r="L11" s="18">
        <f t="shared" si="2"/>
        <v>1287</v>
      </c>
    </row>
    <row r="12" ht="20" customHeight="1" spans="1:12">
      <c r="A12" s="18">
        <v>10</v>
      </c>
      <c r="B12" s="18" t="s">
        <v>101</v>
      </c>
      <c r="C12" s="20">
        <v>677</v>
      </c>
      <c r="D12" s="20">
        <v>659</v>
      </c>
      <c r="E12" s="20">
        <v>677</v>
      </c>
      <c r="F12" s="18">
        <v>3</v>
      </c>
      <c r="G12" s="18">
        <f t="shared" si="0"/>
        <v>2031</v>
      </c>
      <c r="H12" s="18" t="s">
        <v>48</v>
      </c>
      <c r="I12" s="18">
        <v>5</v>
      </c>
      <c r="J12" s="18">
        <v>30</v>
      </c>
      <c r="K12" s="18">
        <f t="shared" si="1"/>
        <v>150</v>
      </c>
      <c r="L12" s="18">
        <f t="shared" si="2"/>
        <v>2181</v>
      </c>
    </row>
    <row r="13" ht="20" customHeight="1" spans="1:12">
      <c r="A13" s="18">
        <v>11</v>
      </c>
      <c r="B13" s="18" t="s">
        <v>102</v>
      </c>
      <c r="C13" s="20">
        <v>665</v>
      </c>
      <c r="D13" s="20">
        <v>649</v>
      </c>
      <c r="E13" s="20">
        <v>665</v>
      </c>
      <c r="F13" s="18">
        <v>3</v>
      </c>
      <c r="G13" s="18">
        <f t="shared" si="0"/>
        <v>1995</v>
      </c>
      <c r="H13" s="18" t="s">
        <v>50</v>
      </c>
      <c r="I13" s="18">
        <v>10</v>
      </c>
      <c r="J13" s="18">
        <v>33</v>
      </c>
      <c r="K13" s="18">
        <f t="shared" si="1"/>
        <v>330</v>
      </c>
      <c r="L13" s="18">
        <f t="shared" si="2"/>
        <v>2325</v>
      </c>
    </row>
    <row r="14" ht="20" customHeight="1" spans="1:12">
      <c r="A14" s="18">
        <v>12</v>
      </c>
      <c r="B14" s="18" t="s">
        <v>103</v>
      </c>
      <c r="C14" s="20">
        <v>644</v>
      </c>
      <c r="D14" s="20">
        <v>641</v>
      </c>
      <c r="E14" s="20">
        <v>644</v>
      </c>
      <c r="F14" s="18">
        <v>3</v>
      </c>
      <c r="G14" s="18">
        <f t="shared" si="0"/>
        <v>1932</v>
      </c>
      <c r="H14" s="18" t="s">
        <v>52</v>
      </c>
      <c r="I14" s="18">
        <v>6</v>
      </c>
      <c r="J14" s="18">
        <v>36</v>
      </c>
      <c r="K14" s="18">
        <f t="shared" si="1"/>
        <v>216</v>
      </c>
      <c r="L14" s="18">
        <f t="shared" si="2"/>
        <v>2148</v>
      </c>
    </row>
    <row r="15" ht="20" customHeight="1" spans="1:12">
      <c r="A15" s="18">
        <v>13</v>
      </c>
      <c r="B15" s="18" t="s">
        <v>104</v>
      </c>
      <c r="C15" s="20">
        <v>626</v>
      </c>
      <c r="D15" s="20">
        <v>635</v>
      </c>
      <c r="E15" s="20">
        <v>626</v>
      </c>
      <c r="F15" s="18">
        <v>3</v>
      </c>
      <c r="G15" s="18">
        <f t="shared" si="0"/>
        <v>1878</v>
      </c>
      <c r="H15" s="18" t="s">
        <v>54</v>
      </c>
      <c r="I15" s="18">
        <v>6</v>
      </c>
      <c r="J15" s="18">
        <v>39</v>
      </c>
      <c r="K15" s="18">
        <f t="shared" si="1"/>
        <v>234</v>
      </c>
      <c r="L15" s="18">
        <f t="shared" si="2"/>
        <v>2112</v>
      </c>
    </row>
    <row r="16" ht="20" customHeight="1" spans="1:12">
      <c r="A16" s="18">
        <v>14</v>
      </c>
      <c r="B16" s="18" t="s">
        <v>105</v>
      </c>
      <c r="C16" s="20">
        <v>636</v>
      </c>
      <c r="D16" s="20">
        <v>665</v>
      </c>
      <c r="E16" s="20">
        <v>636</v>
      </c>
      <c r="F16" s="18">
        <v>3</v>
      </c>
      <c r="G16" s="18">
        <f t="shared" si="0"/>
        <v>1908</v>
      </c>
      <c r="H16" s="18" t="s">
        <v>56</v>
      </c>
      <c r="I16" s="18">
        <v>4</v>
      </c>
      <c r="J16" s="18">
        <v>42</v>
      </c>
      <c r="K16" s="18">
        <f t="shared" si="1"/>
        <v>168</v>
      </c>
      <c r="L16" s="18">
        <f t="shared" si="2"/>
        <v>2076</v>
      </c>
    </row>
    <row r="17" ht="20" customHeight="1" spans="1:12">
      <c r="A17" s="18">
        <v>15</v>
      </c>
      <c r="B17" s="18" t="s">
        <v>106</v>
      </c>
      <c r="C17" s="20">
        <v>359</v>
      </c>
      <c r="D17" s="20">
        <v>368</v>
      </c>
      <c r="E17" s="20">
        <v>359</v>
      </c>
      <c r="F17" s="18">
        <v>3</v>
      </c>
      <c r="G17" s="18">
        <f t="shared" si="0"/>
        <v>1077</v>
      </c>
      <c r="H17" s="18" t="s">
        <v>58</v>
      </c>
      <c r="I17" s="18">
        <v>3</v>
      </c>
      <c r="J17" s="18">
        <v>45</v>
      </c>
      <c r="K17" s="18">
        <f t="shared" si="1"/>
        <v>135</v>
      </c>
      <c r="L17" s="18">
        <f t="shared" si="2"/>
        <v>1212</v>
      </c>
    </row>
    <row r="18" ht="20" customHeight="1" spans="1:12">
      <c r="A18" s="18">
        <v>16</v>
      </c>
      <c r="B18" s="18" t="s">
        <v>107</v>
      </c>
      <c r="C18" s="20">
        <v>352</v>
      </c>
      <c r="D18" s="20">
        <v>340</v>
      </c>
      <c r="E18" s="20">
        <v>352</v>
      </c>
      <c r="F18" s="18">
        <v>3</v>
      </c>
      <c r="G18" s="18">
        <f t="shared" si="0"/>
        <v>1056</v>
      </c>
      <c r="H18" s="18" t="s">
        <v>60</v>
      </c>
      <c r="I18" s="18">
        <v>1</v>
      </c>
      <c r="J18" s="18">
        <v>48</v>
      </c>
      <c r="K18" s="18">
        <f t="shared" si="1"/>
        <v>48</v>
      </c>
      <c r="L18" s="18">
        <f t="shared" si="2"/>
        <v>1104</v>
      </c>
    </row>
    <row r="19" ht="20" customHeight="1" spans="1:12">
      <c r="A19" s="18">
        <v>17</v>
      </c>
      <c r="B19" s="18" t="s">
        <v>108</v>
      </c>
      <c r="C19" s="20">
        <v>658</v>
      </c>
      <c r="D19" s="20">
        <v>659</v>
      </c>
      <c r="E19" s="20">
        <v>658</v>
      </c>
      <c r="F19" s="18">
        <v>3</v>
      </c>
      <c r="G19" s="18">
        <f t="shared" si="0"/>
        <v>1974</v>
      </c>
      <c r="H19" s="18" t="s">
        <v>62</v>
      </c>
      <c r="I19" s="18">
        <v>2</v>
      </c>
      <c r="J19" s="18">
        <v>51</v>
      </c>
      <c r="K19" s="18">
        <f t="shared" si="1"/>
        <v>102</v>
      </c>
      <c r="L19" s="18">
        <f t="shared" si="2"/>
        <v>2076</v>
      </c>
    </row>
    <row r="20" ht="20" customHeight="1" spans="1:12">
      <c r="A20" s="18">
        <v>18</v>
      </c>
      <c r="B20" s="18" t="s">
        <v>109</v>
      </c>
      <c r="C20" s="20">
        <v>657</v>
      </c>
      <c r="D20" s="20">
        <v>644</v>
      </c>
      <c r="E20" s="20">
        <v>657</v>
      </c>
      <c r="F20" s="18">
        <v>3</v>
      </c>
      <c r="G20" s="18">
        <f t="shared" si="0"/>
        <v>1971</v>
      </c>
      <c r="H20" s="18" t="s">
        <v>64</v>
      </c>
      <c r="I20" s="18">
        <v>3</v>
      </c>
      <c r="J20" s="18">
        <v>54</v>
      </c>
      <c r="K20" s="18">
        <f t="shared" si="1"/>
        <v>162</v>
      </c>
      <c r="L20" s="18">
        <f t="shared" si="2"/>
        <v>2133</v>
      </c>
    </row>
    <row r="21" ht="20" customHeight="1" spans="1:12">
      <c r="A21" s="18">
        <v>19</v>
      </c>
      <c r="B21" s="18" t="s">
        <v>110</v>
      </c>
      <c r="C21" s="20">
        <v>637</v>
      </c>
      <c r="D21" s="20">
        <v>632</v>
      </c>
      <c r="E21" s="20">
        <v>637</v>
      </c>
      <c r="F21" s="18">
        <v>3</v>
      </c>
      <c r="G21" s="18">
        <f t="shared" si="0"/>
        <v>1911</v>
      </c>
      <c r="H21" s="18" t="s">
        <v>66</v>
      </c>
      <c r="I21" s="18">
        <v>0</v>
      </c>
      <c r="J21" s="18">
        <v>0</v>
      </c>
      <c r="K21" s="18">
        <f t="shared" si="1"/>
        <v>0</v>
      </c>
      <c r="L21" s="18">
        <f t="shared" si="2"/>
        <v>1911</v>
      </c>
    </row>
    <row r="22" ht="20" customHeight="1" spans="1:12">
      <c r="A22" s="18">
        <v>20</v>
      </c>
      <c r="B22" s="18" t="s">
        <v>111</v>
      </c>
      <c r="C22" s="20">
        <v>678</v>
      </c>
      <c r="D22" s="20">
        <v>655</v>
      </c>
      <c r="E22" s="20">
        <v>678</v>
      </c>
      <c r="F22" s="18">
        <v>3</v>
      </c>
      <c r="G22" s="18">
        <f t="shared" si="0"/>
        <v>2034</v>
      </c>
      <c r="H22" s="18" t="s">
        <v>68</v>
      </c>
      <c r="I22" s="18">
        <v>1</v>
      </c>
      <c r="J22" s="18">
        <v>60</v>
      </c>
      <c r="K22" s="18">
        <f t="shared" si="1"/>
        <v>60</v>
      </c>
      <c r="L22" s="18">
        <f t="shared" si="2"/>
        <v>2094</v>
      </c>
    </row>
    <row r="23" ht="20" customHeight="1" spans="1:12">
      <c r="A23" s="18">
        <v>21</v>
      </c>
      <c r="B23" s="18" t="s">
        <v>112</v>
      </c>
      <c r="C23" s="20">
        <v>654</v>
      </c>
      <c r="D23" s="20">
        <v>672</v>
      </c>
      <c r="E23" s="20">
        <v>654</v>
      </c>
      <c r="F23" s="18">
        <v>3</v>
      </c>
      <c r="G23" s="18">
        <f t="shared" si="0"/>
        <v>1962</v>
      </c>
      <c r="H23" s="18" t="s">
        <v>70</v>
      </c>
      <c r="I23" s="18">
        <v>1</v>
      </c>
      <c r="J23" s="18">
        <v>63</v>
      </c>
      <c r="K23" s="18">
        <f t="shared" si="1"/>
        <v>63</v>
      </c>
      <c r="L23" s="18">
        <f t="shared" si="2"/>
        <v>2025</v>
      </c>
    </row>
    <row r="24" ht="20" customHeight="1" spans="1:12">
      <c r="A24" s="18">
        <v>22</v>
      </c>
      <c r="B24" s="18" t="s">
        <v>113</v>
      </c>
      <c r="C24" s="20">
        <v>409</v>
      </c>
      <c r="D24" s="20">
        <v>440</v>
      </c>
      <c r="E24" s="20">
        <v>409</v>
      </c>
      <c r="F24" s="20">
        <v>3</v>
      </c>
      <c r="G24" s="18">
        <f t="shared" si="0"/>
        <v>1227</v>
      </c>
      <c r="H24" s="18" t="s">
        <v>72</v>
      </c>
      <c r="I24" s="18">
        <v>1</v>
      </c>
      <c r="J24" s="18">
        <v>66</v>
      </c>
      <c r="K24" s="18">
        <f t="shared" si="1"/>
        <v>66</v>
      </c>
      <c r="L24" s="18">
        <f t="shared" si="2"/>
        <v>1293</v>
      </c>
    </row>
    <row r="25" ht="20" customHeight="1" spans="1:12">
      <c r="A25" s="18">
        <v>23</v>
      </c>
      <c r="B25" s="18" t="s">
        <v>114</v>
      </c>
      <c r="C25" s="20">
        <v>422</v>
      </c>
      <c r="D25" s="20">
        <v>417</v>
      </c>
      <c r="E25" s="20">
        <v>422</v>
      </c>
      <c r="F25" s="18">
        <v>3</v>
      </c>
      <c r="G25" s="18">
        <f t="shared" si="0"/>
        <v>1266</v>
      </c>
      <c r="H25" s="18" t="s">
        <v>74</v>
      </c>
      <c r="I25" s="18">
        <v>2</v>
      </c>
      <c r="J25" s="18">
        <v>69</v>
      </c>
      <c r="K25" s="18">
        <f t="shared" si="1"/>
        <v>138</v>
      </c>
      <c r="L25" s="18">
        <f t="shared" si="2"/>
        <v>1404</v>
      </c>
    </row>
    <row r="26" ht="20" customHeight="1" spans="1:12">
      <c r="A26" s="18">
        <v>24</v>
      </c>
      <c r="B26" s="18" t="s">
        <v>115</v>
      </c>
      <c r="C26" s="20">
        <v>681</v>
      </c>
      <c r="D26" s="20">
        <v>649</v>
      </c>
      <c r="E26" s="20">
        <v>681</v>
      </c>
      <c r="F26" s="18">
        <v>3</v>
      </c>
      <c r="G26" s="18">
        <f t="shared" si="0"/>
        <v>2043</v>
      </c>
      <c r="H26" s="18" t="s">
        <v>76</v>
      </c>
      <c r="I26" s="18">
        <v>0</v>
      </c>
      <c r="J26" s="18">
        <v>0</v>
      </c>
      <c r="K26" s="18">
        <f t="shared" si="1"/>
        <v>0</v>
      </c>
      <c r="L26" s="18">
        <f t="shared" si="2"/>
        <v>2043</v>
      </c>
    </row>
    <row r="27" ht="20" customHeight="1" spans="1:12">
      <c r="A27" s="18">
        <v>25</v>
      </c>
      <c r="B27" s="18" t="s">
        <v>116</v>
      </c>
      <c r="C27" s="20">
        <v>647</v>
      </c>
      <c r="D27" s="20">
        <v>637</v>
      </c>
      <c r="E27" s="20">
        <v>647</v>
      </c>
      <c r="F27" s="18">
        <v>3</v>
      </c>
      <c r="G27" s="18">
        <f t="shared" si="0"/>
        <v>1941</v>
      </c>
      <c r="H27" s="18" t="s">
        <v>78</v>
      </c>
      <c r="I27" s="18">
        <v>1</v>
      </c>
      <c r="J27" s="18">
        <v>75</v>
      </c>
      <c r="K27" s="18">
        <f t="shared" si="1"/>
        <v>75</v>
      </c>
      <c r="L27" s="18">
        <f t="shared" si="2"/>
        <v>2016</v>
      </c>
    </row>
    <row r="28" ht="20" customHeight="1" spans="1:12">
      <c r="A28" s="18">
        <v>26</v>
      </c>
      <c r="B28" s="18" t="s">
        <v>117</v>
      </c>
      <c r="C28" s="20">
        <v>619</v>
      </c>
      <c r="D28" s="21">
        <v>638</v>
      </c>
      <c r="E28" s="20">
        <v>619</v>
      </c>
      <c r="F28" s="18">
        <v>3</v>
      </c>
      <c r="G28" s="18">
        <f t="shared" si="0"/>
        <v>1857</v>
      </c>
      <c r="H28" s="18" t="s">
        <v>80</v>
      </c>
      <c r="I28" s="18">
        <v>0</v>
      </c>
      <c r="J28" s="18">
        <v>0</v>
      </c>
      <c r="K28" s="18">
        <f t="shared" si="1"/>
        <v>0</v>
      </c>
      <c r="L28" s="18">
        <f t="shared" si="2"/>
        <v>1857</v>
      </c>
    </row>
    <row r="29" ht="20" customHeight="1" spans="1:12">
      <c r="A29" s="18">
        <v>27</v>
      </c>
      <c r="B29" s="18" t="s">
        <v>118</v>
      </c>
      <c r="C29" s="20">
        <v>614</v>
      </c>
      <c r="D29" s="20">
        <v>324</v>
      </c>
      <c r="E29" s="20">
        <v>614</v>
      </c>
      <c r="F29" s="18">
        <v>3</v>
      </c>
      <c r="G29" s="18">
        <f t="shared" si="0"/>
        <v>1842</v>
      </c>
      <c r="H29" s="18" t="s">
        <v>82</v>
      </c>
      <c r="I29" s="18">
        <v>0</v>
      </c>
      <c r="J29" s="18">
        <v>0</v>
      </c>
      <c r="K29" s="18">
        <f t="shared" si="1"/>
        <v>0</v>
      </c>
      <c r="L29" s="18">
        <f t="shared" si="2"/>
        <v>1842</v>
      </c>
    </row>
    <row r="30" ht="20" customHeight="1" spans="1:12">
      <c r="A30" s="18">
        <v>28</v>
      </c>
      <c r="B30" s="18" t="s">
        <v>119</v>
      </c>
      <c r="C30" s="20">
        <v>611</v>
      </c>
      <c r="D30" s="20">
        <v>619</v>
      </c>
      <c r="E30" s="20">
        <v>611</v>
      </c>
      <c r="F30" s="18">
        <v>3</v>
      </c>
      <c r="G30" s="18">
        <f t="shared" si="0"/>
        <v>1833</v>
      </c>
      <c r="H30" s="18" t="s">
        <v>84</v>
      </c>
      <c r="I30" s="18">
        <v>0</v>
      </c>
      <c r="J30" s="18">
        <v>0</v>
      </c>
      <c r="K30" s="18">
        <f t="shared" si="1"/>
        <v>0</v>
      </c>
      <c r="L30" s="18">
        <f t="shared" si="2"/>
        <v>1833</v>
      </c>
    </row>
    <row r="31" ht="20" customHeight="1" spans="1:12">
      <c r="A31" s="18">
        <v>29</v>
      </c>
      <c r="B31" s="18" t="s">
        <v>120</v>
      </c>
      <c r="C31" s="20">
        <v>295</v>
      </c>
      <c r="D31" s="20">
        <v>358</v>
      </c>
      <c r="E31" s="20">
        <v>295</v>
      </c>
      <c r="F31" s="18">
        <v>3</v>
      </c>
      <c r="G31" s="18">
        <f t="shared" si="0"/>
        <v>885</v>
      </c>
      <c r="H31" s="18" t="s">
        <v>86</v>
      </c>
      <c r="I31" s="18">
        <v>1</v>
      </c>
      <c r="J31" s="18">
        <v>87</v>
      </c>
      <c r="K31" s="18">
        <f t="shared" si="1"/>
        <v>87</v>
      </c>
      <c r="L31" s="18">
        <f t="shared" si="2"/>
        <v>972</v>
      </c>
    </row>
    <row r="32" ht="20" customHeight="1" spans="1:12">
      <c r="A32" s="18">
        <v>30</v>
      </c>
      <c r="B32" s="18" t="s">
        <v>121</v>
      </c>
      <c r="C32" s="20">
        <v>247</v>
      </c>
      <c r="D32" s="20">
        <v>266</v>
      </c>
      <c r="E32" s="20">
        <v>247</v>
      </c>
      <c r="F32" s="20">
        <v>3</v>
      </c>
      <c r="G32" s="18">
        <f t="shared" si="0"/>
        <v>741</v>
      </c>
      <c r="H32" s="18" t="s">
        <v>88</v>
      </c>
      <c r="I32" s="18">
        <v>0</v>
      </c>
      <c r="J32" s="18">
        <v>0</v>
      </c>
      <c r="K32" s="18">
        <f t="shared" si="1"/>
        <v>0</v>
      </c>
      <c r="L32" s="18">
        <f t="shared" si="2"/>
        <v>741</v>
      </c>
    </row>
    <row r="33" ht="20" customHeight="1" spans="1:12">
      <c r="A33" s="20" t="s">
        <v>23</v>
      </c>
      <c r="B33" s="11"/>
      <c r="C33" s="20">
        <v>16303</v>
      </c>
      <c r="D33" s="20">
        <v>16107</v>
      </c>
      <c r="E33" s="20">
        <v>16303</v>
      </c>
      <c r="F33" s="20">
        <v>3</v>
      </c>
      <c r="G33" s="18">
        <f t="shared" si="0"/>
        <v>48909</v>
      </c>
      <c r="H33" s="23"/>
      <c r="I33" s="25"/>
      <c r="J33" s="26"/>
      <c r="K33" s="18">
        <v>12993</v>
      </c>
      <c r="L33" s="18">
        <f t="shared" si="2"/>
        <v>61902</v>
      </c>
    </row>
  </sheetData>
  <mergeCells count="3">
    <mergeCell ref="A1:L1"/>
    <mergeCell ref="H2:J2"/>
    <mergeCell ref="H33:J33"/>
  </mergeCells>
  <pageMargins left="0.25" right="0.25" top="0.75" bottom="0.75" header="0.298611111111111" footer="0.298611111111111"/>
  <pageSetup paperSize="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I3" sqref="I3:I33"/>
    </sheetView>
  </sheetViews>
  <sheetFormatPr defaultColWidth="11.375" defaultRowHeight="22" customHeight="1"/>
  <cols>
    <col min="1" max="1" width="15" customWidth="1"/>
    <col min="2" max="2" width="18.125" customWidth="1"/>
    <col min="3" max="3" width="18.625" customWidth="1"/>
    <col min="4" max="4" width="16.75" customWidth="1"/>
    <col min="5" max="5" width="20.625" customWidth="1"/>
    <col min="6" max="6" width="21" customWidth="1"/>
    <col min="7" max="7" width="20.125" customWidth="1"/>
    <col min="8" max="8" width="10" customWidth="1"/>
    <col min="9" max="9" width="9" customWidth="1"/>
    <col min="10" max="10" width="8.75" customWidth="1"/>
    <col min="11" max="11" width="19.5" customWidth="1"/>
    <col min="12" max="12" width="16.875" customWidth="1"/>
    <col min="13" max="16384" width="11.375" customWidth="1"/>
  </cols>
  <sheetData>
    <row r="1" ht="29" customHeight="1" spans="1:12">
      <c r="A1" s="16" t="s">
        <v>122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4"/>
    </row>
    <row r="2" customHeight="1" spans="1:12">
      <c r="A2" s="18" t="s">
        <v>3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21</v>
      </c>
      <c r="G2" s="3" t="s">
        <v>26</v>
      </c>
      <c r="H2" s="19" t="s">
        <v>27</v>
      </c>
      <c r="I2" s="17"/>
      <c r="J2" s="24"/>
      <c r="K2" s="3" t="s">
        <v>28</v>
      </c>
      <c r="L2" s="18" t="s">
        <v>22</v>
      </c>
    </row>
    <row r="3" ht="18" customHeight="1" spans="1:12">
      <c r="A3" s="18">
        <v>1</v>
      </c>
      <c r="B3" s="18" t="s">
        <v>123</v>
      </c>
      <c r="C3" s="18">
        <v>293</v>
      </c>
      <c r="D3" s="18">
        <v>267</v>
      </c>
      <c r="E3" s="18">
        <v>267</v>
      </c>
      <c r="F3" s="18">
        <v>3</v>
      </c>
      <c r="G3" s="18">
        <f>E3*F3</f>
        <v>801</v>
      </c>
      <c r="H3" s="18" t="s">
        <v>30</v>
      </c>
      <c r="I3" s="18">
        <v>1487</v>
      </c>
      <c r="J3" s="18">
        <v>3</v>
      </c>
      <c r="K3" s="18">
        <f>I3*J3</f>
        <v>4461</v>
      </c>
      <c r="L3" s="18">
        <f>G3+K3</f>
        <v>5262</v>
      </c>
    </row>
    <row r="4" ht="18" customHeight="1" spans="1:12">
      <c r="A4" s="18">
        <v>2</v>
      </c>
      <c r="B4" s="18" t="s">
        <v>124</v>
      </c>
      <c r="C4" s="18">
        <v>584</v>
      </c>
      <c r="D4" s="18">
        <v>573</v>
      </c>
      <c r="E4" s="18">
        <v>573</v>
      </c>
      <c r="F4" s="20">
        <v>3</v>
      </c>
      <c r="G4" s="18">
        <f t="shared" ref="G4:G34" si="0">E4*F4</f>
        <v>1719</v>
      </c>
      <c r="H4" s="18" t="s">
        <v>32</v>
      </c>
      <c r="I4" s="18">
        <v>297</v>
      </c>
      <c r="J4" s="18">
        <v>6</v>
      </c>
      <c r="K4" s="18">
        <f t="shared" ref="K4:K33" si="1">I4*J4</f>
        <v>1782</v>
      </c>
      <c r="L4" s="18">
        <f t="shared" ref="L4:L34" si="2">G4+K4</f>
        <v>3501</v>
      </c>
    </row>
    <row r="5" ht="18" customHeight="1" spans="1:12">
      <c r="A5" s="18">
        <v>3</v>
      </c>
      <c r="B5" s="18" t="s">
        <v>125</v>
      </c>
      <c r="C5" s="18">
        <v>656</v>
      </c>
      <c r="D5" s="18">
        <v>646</v>
      </c>
      <c r="E5" s="18">
        <v>646</v>
      </c>
      <c r="F5" s="20">
        <v>3</v>
      </c>
      <c r="G5" s="18">
        <f t="shared" si="0"/>
        <v>1938</v>
      </c>
      <c r="H5" s="18" t="s">
        <v>34</v>
      </c>
      <c r="I5" s="18">
        <v>158</v>
      </c>
      <c r="J5" s="18">
        <v>9</v>
      </c>
      <c r="K5" s="18">
        <f t="shared" si="1"/>
        <v>1422</v>
      </c>
      <c r="L5" s="18">
        <f t="shared" si="2"/>
        <v>3360</v>
      </c>
    </row>
    <row r="6" ht="18" customHeight="1" spans="1:12">
      <c r="A6" s="18">
        <v>4</v>
      </c>
      <c r="B6" s="18" t="s">
        <v>126</v>
      </c>
      <c r="C6" s="18">
        <v>654</v>
      </c>
      <c r="D6" s="18">
        <v>654</v>
      </c>
      <c r="E6" s="18">
        <v>654</v>
      </c>
      <c r="F6" s="20">
        <v>3</v>
      </c>
      <c r="G6" s="18">
        <f t="shared" si="0"/>
        <v>1962</v>
      </c>
      <c r="H6" s="18" t="s">
        <v>36</v>
      </c>
      <c r="I6" s="18">
        <v>115</v>
      </c>
      <c r="J6" s="18">
        <v>12</v>
      </c>
      <c r="K6" s="18">
        <f t="shared" si="1"/>
        <v>1380</v>
      </c>
      <c r="L6" s="18">
        <f t="shared" si="2"/>
        <v>3342</v>
      </c>
    </row>
    <row r="7" ht="18" customHeight="1" spans="1:12">
      <c r="A7" s="18">
        <v>5</v>
      </c>
      <c r="B7" s="18" t="s">
        <v>127</v>
      </c>
      <c r="C7" s="18">
        <v>649</v>
      </c>
      <c r="D7" s="18">
        <v>643</v>
      </c>
      <c r="E7" s="18">
        <v>643</v>
      </c>
      <c r="F7" s="20">
        <v>3</v>
      </c>
      <c r="G7" s="18">
        <f t="shared" si="0"/>
        <v>1929</v>
      </c>
      <c r="H7" s="18" t="s">
        <v>38</v>
      </c>
      <c r="I7" s="18">
        <v>45</v>
      </c>
      <c r="J7" s="18">
        <v>15</v>
      </c>
      <c r="K7" s="18">
        <f t="shared" si="1"/>
        <v>675</v>
      </c>
      <c r="L7" s="18">
        <f t="shared" si="2"/>
        <v>2604</v>
      </c>
    </row>
    <row r="8" ht="18" customHeight="1" spans="1:12">
      <c r="A8" s="18">
        <v>6</v>
      </c>
      <c r="B8" s="18" t="s">
        <v>128</v>
      </c>
      <c r="C8" s="20">
        <v>373</v>
      </c>
      <c r="D8" s="20">
        <v>409</v>
      </c>
      <c r="E8" s="20">
        <v>409</v>
      </c>
      <c r="F8" s="20">
        <v>3</v>
      </c>
      <c r="G8" s="18">
        <f t="shared" si="0"/>
        <v>1227</v>
      </c>
      <c r="H8" s="18" t="s">
        <v>40</v>
      </c>
      <c r="I8" s="18">
        <v>27</v>
      </c>
      <c r="J8" s="18">
        <v>18</v>
      </c>
      <c r="K8" s="18">
        <f t="shared" si="1"/>
        <v>486</v>
      </c>
      <c r="L8" s="18">
        <f t="shared" si="2"/>
        <v>1713</v>
      </c>
    </row>
    <row r="9" ht="18" customHeight="1" spans="1:12">
      <c r="A9" s="18">
        <v>7</v>
      </c>
      <c r="B9" s="18" t="s">
        <v>129</v>
      </c>
      <c r="C9" s="20">
        <v>324</v>
      </c>
      <c r="D9" s="20">
        <v>346</v>
      </c>
      <c r="E9" s="20">
        <v>346</v>
      </c>
      <c r="F9" s="20">
        <v>3</v>
      </c>
      <c r="G9" s="18">
        <f t="shared" si="0"/>
        <v>1038</v>
      </c>
      <c r="H9" s="18" t="s">
        <v>42</v>
      </c>
      <c r="I9" s="18">
        <v>20</v>
      </c>
      <c r="J9" s="18">
        <v>21</v>
      </c>
      <c r="K9" s="18">
        <f t="shared" si="1"/>
        <v>420</v>
      </c>
      <c r="L9" s="18">
        <f t="shared" si="2"/>
        <v>1458</v>
      </c>
    </row>
    <row r="10" ht="18" customHeight="1" spans="1:12">
      <c r="A10" s="18">
        <v>8</v>
      </c>
      <c r="B10" s="18" t="s">
        <v>130</v>
      </c>
      <c r="C10" s="20">
        <v>659</v>
      </c>
      <c r="D10" s="20">
        <v>622</v>
      </c>
      <c r="E10" s="20">
        <v>622</v>
      </c>
      <c r="F10" s="20">
        <v>3</v>
      </c>
      <c r="G10" s="18">
        <f t="shared" si="0"/>
        <v>1866</v>
      </c>
      <c r="H10" s="18" t="s">
        <v>44</v>
      </c>
      <c r="I10" s="18">
        <v>8</v>
      </c>
      <c r="J10" s="18">
        <v>24</v>
      </c>
      <c r="K10" s="18">
        <f t="shared" si="1"/>
        <v>192</v>
      </c>
      <c r="L10" s="18">
        <f t="shared" si="2"/>
        <v>2058</v>
      </c>
    </row>
    <row r="11" ht="18" customHeight="1" spans="1:12">
      <c r="A11" s="18">
        <v>9</v>
      </c>
      <c r="B11" s="18" t="s">
        <v>131</v>
      </c>
      <c r="C11" s="20">
        <v>614</v>
      </c>
      <c r="D11" s="20">
        <v>615</v>
      </c>
      <c r="E11" s="20">
        <v>615</v>
      </c>
      <c r="F11" s="20">
        <v>3</v>
      </c>
      <c r="G11" s="18">
        <f t="shared" si="0"/>
        <v>1845</v>
      </c>
      <c r="H11" s="18" t="s">
        <v>46</v>
      </c>
      <c r="I11" s="18">
        <v>7</v>
      </c>
      <c r="J11" s="18">
        <v>27</v>
      </c>
      <c r="K11" s="18">
        <f t="shared" si="1"/>
        <v>189</v>
      </c>
      <c r="L11" s="18">
        <f t="shared" si="2"/>
        <v>2034</v>
      </c>
    </row>
    <row r="12" ht="18" customHeight="1" spans="1:12">
      <c r="A12" s="18">
        <v>10</v>
      </c>
      <c r="B12" s="18" t="s">
        <v>132</v>
      </c>
      <c r="C12" s="20">
        <v>624</v>
      </c>
      <c r="D12" s="20">
        <v>638</v>
      </c>
      <c r="E12" s="20">
        <v>638</v>
      </c>
      <c r="F12" s="20">
        <v>3</v>
      </c>
      <c r="G12" s="18">
        <f t="shared" si="0"/>
        <v>1914</v>
      </c>
      <c r="H12" s="18" t="s">
        <v>48</v>
      </c>
      <c r="I12" s="18">
        <v>6</v>
      </c>
      <c r="J12" s="18">
        <v>30</v>
      </c>
      <c r="K12" s="18">
        <f t="shared" si="1"/>
        <v>180</v>
      </c>
      <c r="L12" s="18">
        <f t="shared" si="2"/>
        <v>2094</v>
      </c>
    </row>
    <row r="13" ht="18" customHeight="1" spans="1:12">
      <c r="A13" s="18">
        <v>11</v>
      </c>
      <c r="B13" s="18" t="s">
        <v>133</v>
      </c>
      <c r="C13" s="20">
        <v>631</v>
      </c>
      <c r="D13" s="20">
        <v>628</v>
      </c>
      <c r="E13" s="20">
        <v>628</v>
      </c>
      <c r="F13" s="20">
        <v>3</v>
      </c>
      <c r="G13" s="18">
        <f t="shared" si="0"/>
        <v>1884</v>
      </c>
      <c r="H13" s="18" t="s">
        <v>50</v>
      </c>
      <c r="I13" s="18">
        <v>5</v>
      </c>
      <c r="J13" s="18">
        <v>33</v>
      </c>
      <c r="K13" s="18">
        <f t="shared" si="1"/>
        <v>165</v>
      </c>
      <c r="L13" s="18">
        <f t="shared" si="2"/>
        <v>2049</v>
      </c>
    </row>
    <row r="14" ht="18" customHeight="1" spans="1:12">
      <c r="A14" s="18">
        <v>12</v>
      </c>
      <c r="B14" s="18" t="s">
        <v>134</v>
      </c>
      <c r="C14" s="20">
        <v>600</v>
      </c>
      <c r="D14" s="20">
        <v>612</v>
      </c>
      <c r="E14" s="20">
        <v>612</v>
      </c>
      <c r="F14" s="20">
        <v>3</v>
      </c>
      <c r="G14" s="18">
        <f t="shared" si="0"/>
        <v>1836</v>
      </c>
      <c r="H14" s="18" t="s">
        <v>52</v>
      </c>
      <c r="I14" s="18">
        <v>6</v>
      </c>
      <c r="J14" s="18">
        <v>36</v>
      </c>
      <c r="K14" s="18">
        <f t="shared" si="1"/>
        <v>216</v>
      </c>
      <c r="L14" s="18">
        <f t="shared" si="2"/>
        <v>2052</v>
      </c>
    </row>
    <row r="15" ht="18" customHeight="1" spans="1:12">
      <c r="A15" s="18">
        <v>13</v>
      </c>
      <c r="B15" s="18" t="s">
        <v>135</v>
      </c>
      <c r="C15" s="20">
        <v>312</v>
      </c>
      <c r="D15" s="20">
        <v>340</v>
      </c>
      <c r="E15" s="20">
        <v>340</v>
      </c>
      <c r="F15" s="20">
        <v>3</v>
      </c>
      <c r="G15" s="18">
        <f t="shared" si="0"/>
        <v>1020</v>
      </c>
      <c r="H15" s="18" t="s">
        <v>54</v>
      </c>
      <c r="I15" s="18">
        <v>3</v>
      </c>
      <c r="J15" s="18">
        <v>39</v>
      </c>
      <c r="K15" s="18">
        <f t="shared" si="1"/>
        <v>117</v>
      </c>
      <c r="L15" s="18">
        <f t="shared" si="2"/>
        <v>1137</v>
      </c>
    </row>
    <row r="16" ht="18" customHeight="1" spans="1:12">
      <c r="A16" s="18">
        <v>14</v>
      </c>
      <c r="B16" s="18" t="s">
        <v>136</v>
      </c>
      <c r="C16" s="20">
        <v>330</v>
      </c>
      <c r="D16" s="20">
        <v>317</v>
      </c>
      <c r="E16" s="20">
        <v>317</v>
      </c>
      <c r="F16" s="20">
        <v>3</v>
      </c>
      <c r="G16" s="18">
        <f t="shared" si="0"/>
        <v>951</v>
      </c>
      <c r="H16" s="18" t="s">
        <v>56</v>
      </c>
      <c r="I16" s="18">
        <v>2</v>
      </c>
      <c r="J16" s="18">
        <v>42</v>
      </c>
      <c r="K16" s="18">
        <f t="shared" si="1"/>
        <v>84</v>
      </c>
      <c r="L16" s="18">
        <f t="shared" si="2"/>
        <v>1035</v>
      </c>
    </row>
    <row r="17" ht="18" customHeight="1" spans="1:12">
      <c r="A17" s="18">
        <v>15</v>
      </c>
      <c r="B17" s="18" t="s">
        <v>137</v>
      </c>
      <c r="C17" s="20">
        <v>615</v>
      </c>
      <c r="D17" s="20">
        <v>591</v>
      </c>
      <c r="E17" s="20">
        <v>591</v>
      </c>
      <c r="F17" s="20">
        <v>3</v>
      </c>
      <c r="G17" s="18">
        <f t="shared" si="0"/>
        <v>1773</v>
      </c>
      <c r="H17" s="18" t="s">
        <v>58</v>
      </c>
      <c r="I17" s="18">
        <v>2</v>
      </c>
      <c r="J17" s="18">
        <v>45</v>
      </c>
      <c r="K17" s="18">
        <f t="shared" si="1"/>
        <v>90</v>
      </c>
      <c r="L17" s="18">
        <f t="shared" si="2"/>
        <v>1863</v>
      </c>
    </row>
    <row r="18" ht="18" customHeight="1" spans="1:12">
      <c r="A18" s="18">
        <v>16</v>
      </c>
      <c r="B18" s="18" t="s">
        <v>138</v>
      </c>
      <c r="C18" s="20">
        <v>608</v>
      </c>
      <c r="D18" s="20">
        <v>617</v>
      </c>
      <c r="E18" s="20">
        <v>617</v>
      </c>
      <c r="F18" s="20">
        <v>3</v>
      </c>
      <c r="G18" s="18">
        <f t="shared" si="0"/>
        <v>1851</v>
      </c>
      <c r="H18" s="18" t="s">
        <v>60</v>
      </c>
      <c r="I18" s="18">
        <v>1</v>
      </c>
      <c r="J18" s="18">
        <v>48</v>
      </c>
      <c r="K18" s="18">
        <f t="shared" si="1"/>
        <v>48</v>
      </c>
      <c r="L18" s="18">
        <f t="shared" si="2"/>
        <v>1899</v>
      </c>
    </row>
    <row r="19" ht="18" customHeight="1" spans="1:12">
      <c r="A19" s="18">
        <v>17</v>
      </c>
      <c r="B19" s="18" t="s">
        <v>139</v>
      </c>
      <c r="C19" s="20">
        <v>627</v>
      </c>
      <c r="D19" s="20">
        <v>637</v>
      </c>
      <c r="E19" s="20">
        <v>637</v>
      </c>
      <c r="F19" s="20">
        <v>3</v>
      </c>
      <c r="G19" s="18">
        <f t="shared" si="0"/>
        <v>1911</v>
      </c>
      <c r="H19" s="18" t="s">
        <v>62</v>
      </c>
      <c r="I19" s="18">
        <v>2</v>
      </c>
      <c r="J19" s="18">
        <v>51</v>
      </c>
      <c r="K19" s="18">
        <f t="shared" si="1"/>
        <v>102</v>
      </c>
      <c r="L19" s="18">
        <f t="shared" si="2"/>
        <v>2013</v>
      </c>
    </row>
    <row r="20" ht="18" customHeight="1" spans="1:12">
      <c r="A20" s="18">
        <v>18</v>
      </c>
      <c r="B20" s="18" t="s">
        <v>140</v>
      </c>
      <c r="C20" s="20">
        <v>631</v>
      </c>
      <c r="D20" s="20">
        <v>644</v>
      </c>
      <c r="E20" s="20">
        <v>644</v>
      </c>
      <c r="F20" s="20">
        <v>3</v>
      </c>
      <c r="G20" s="18">
        <f t="shared" si="0"/>
        <v>1932</v>
      </c>
      <c r="H20" s="18" t="s">
        <v>64</v>
      </c>
      <c r="I20" s="18">
        <v>1</v>
      </c>
      <c r="J20" s="18">
        <v>54</v>
      </c>
      <c r="K20" s="18">
        <f t="shared" si="1"/>
        <v>54</v>
      </c>
      <c r="L20" s="18">
        <f t="shared" si="2"/>
        <v>1986</v>
      </c>
    </row>
    <row r="21" ht="18" customHeight="1" spans="1:12">
      <c r="A21" s="18">
        <v>19</v>
      </c>
      <c r="B21" s="18" t="s">
        <v>141</v>
      </c>
      <c r="C21" s="20">
        <v>614</v>
      </c>
      <c r="D21" s="20">
        <v>633</v>
      </c>
      <c r="E21" s="20">
        <v>633</v>
      </c>
      <c r="F21" s="20">
        <v>3</v>
      </c>
      <c r="G21" s="18">
        <f t="shared" si="0"/>
        <v>1899</v>
      </c>
      <c r="H21" s="18" t="s">
        <v>66</v>
      </c>
      <c r="I21" s="18">
        <v>2</v>
      </c>
      <c r="J21" s="18">
        <v>57</v>
      </c>
      <c r="K21" s="18">
        <f t="shared" si="1"/>
        <v>114</v>
      </c>
      <c r="L21" s="18">
        <f t="shared" si="2"/>
        <v>2013</v>
      </c>
    </row>
    <row r="22" ht="18" customHeight="1" spans="1:12">
      <c r="A22" s="18">
        <v>20</v>
      </c>
      <c r="B22" s="18" t="s">
        <v>142</v>
      </c>
      <c r="C22" s="20">
        <v>342</v>
      </c>
      <c r="D22" s="20">
        <v>352</v>
      </c>
      <c r="E22" s="20">
        <v>352</v>
      </c>
      <c r="F22" s="20">
        <v>3</v>
      </c>
      <c r="G22" s="18">
        <f t="shared" si="0"/>
        <v>1056</v>
      </c>
      <c r="H22" s="18" t="s">
        <v>68</v>
      </c>
      <c r="I22" s="18">
        <v>2</v>
      </c>
      <c r="J22" s="18">
        <v>60</v>
      </c>
      <c r="K22" s="18">
        <f t="shared" si="1"/>
        <v>120</v>
      </c>
      <c r="L22" s="18">
        <f t="shared" si="2"/>
        <v>1176</v>
      </c>
    </row>
    <row r="23" ht="18" customHeight="1" spans="1:12">
      <c r="A23" s="18">
        <v>21</v>
      </c>
      <c r="B23" s="18" t="s">
        <v>143</v>
      </c>
      <c r="C23" s="20">
        <v>354</v>
      </c>
      <c r="D23" s="20">
        <v>363</v>
      </c>
      <c r="E23" s="20">
        <v>363</v>
      </c>
      <c r="F23" s="20">
        <v>3</v>
      </c>
      <c r="G23" s="18">
        <f t="shared" si="0"/>
        <v>1089</v>
      </c>
      <c r="H23" s="18" t="s">
        <v>70</v>
      </c>
      <c r="I23" s="18">
        <v>1</v>
      </c>
      <c r="J23" s="18">
        <v>63</v>
      </c>
      <c r="K23" s="18">
        <f t="shared" si="1"/>
        <v>63</v>
      </c>
      <c r="L23" s="18">
        <f t="shared" si="2"/>
        <v>1152</v>
      </c>
    </row>
    <row r="24" ht="18" customHeight="1" spans="1:12">
      <c r="A24" s="18">
        <v>22</v>
      </c>
      <c r="B24" s="18" t="s">
        <v>144</v>
      </c>
      <c r="C24" s="20">
        <v>660</v>
      </c>
      <c r="D24" s="20">
        <v>655</v>
      </c>
      <c r="E24" s="20">
        <v>655</v>
      </c>
      <c r="F24" s="20">
        <v>3</v>
      </c>
      <c r="G24" s="18">
        <f t="shared" si="0"/>
        <v>1965</v>
      </c>
      <c r="H24" s="18" t="s">
        <v>72</v>
      </c>
      <c r="I24" s="18">
        <v>2</v>
      </c>
      <c r="J24" s="18">
        <v>66</v>
      </c>
      <c r="K24" s="18">
        <f t="shared" si="1"/>
        <v>132</v>
      </c>
      <c r="L24" s="18">
        <f t="shared" si="2"/>
        <v>2097</v>
      </c>
    </row>
    <row r="25" ht="18" customHeight="1" spans="1:12">
      <c r="A25" s="18">
        <v>23</v>
      </c>
      <c r="B25" s="18" t="s">
        <v>145</v>
      </c>
      <c r="C25" s="20">
        <v>645</v>
      </c>
      <c r="D25" s="20">
        <v>620</v>
      </c>
      <c r="E25" s="20">
        <v>620</v>
      </c>
      <c r="F25" s="20">
        <v>3</v>
      </c>
      <c r="G25" s="18">
        <f t="shared" si="0"/>
        <v>1860</v>
      </c>
      <c r="H25" s="18" t="s">
        <v>74</v>
      </c>
      <c r="I25" s="18">
        <v>0</v>
      </c>
      <c r="J25" s="18">
        <v>69</v>
      </c>
      <c r="K25" s="18">
        <f t="shared" si="1"/>
        <v>0</v>
      </c>
      <c r="L25" s="18">
        <f t="shared" si="2"/>
        <v>1860</v>
      </c>
    </row>
    <row r="26" ht="18" customHeight="1" spans="1:12">
      <c r="A26" s="18">
        <v>24</v>
      </c>
      <c r="B26" s="18" t="s">
        <v>146</v>
      </c>
      <c r="C26" s="21">
        <v>650</v>
      </c>
      <c r="D26" s="20">
        <v>662</v>
      </c>
      <c r="E26" s="20">
        <v>662</v>
      </c>
      <c r="F26" s="20">
        <v>3</v>
      </c>
      <c r="G26" s="18">
        <f t="shared" si="0"/>
        <v>1986</v>
      </c>
      <c r="H26" s="18" t="s">
        <v>76</v>
      </c>
      <c r="I26" s="18">
        <v>1</v>
      </c>
      <c r="J26" s="18">
        <v>72</v>
      </c>
      <c r="K26" s="18">
        <f t="shared" si="1"/>
        <v>72</v>
      </c>
      <c r="L26" s="18">
        <f t="shared" si="2"/>
        <v>2058</v>
      </c>
    </row>
    <row r="27" ht="18" customHeight="1" spans="1:12">
      <c r="A27" s="18">
        <v>25</v>
      </c>
      <c r="B27" s="18" t="s">
        <v>147</v>
      </c>
      <c r="C27" s="20">
        <v>639</v>
      </c>
      <c r="D27" s="20">
        <v>654</v>
      </c>
      <c r="E27" s="20">
        <v>654</v>
      </c>
      <c r="F27" s="20">
        <v>3</v>
      </c>
      <c r="G27" s="18">
        <f t="shared" si="0"/>
        <v>1962</v>
      </c>
      <c r="H27" s="18" t="s">
        <v>78</v>
      </c>
      <c r="I27" s="18">
        <v>0</v>
      </c>
      <c r="J27" s="18">
        <v>75</v>
      </c>
      <c r="K27" s="18">
        <f t="shared" si="1"/>
        <v>0</v>
      </c>
      <c r="L27" s="18">
        <f t="shared" si="2"/>
        <v>1962</v>
      </c>
    </row>
    <row r="28" ht="18" customHeight="1" spans="1:12">
      <c r="A28" s="18">
        <v>26</v>
      </c>
      <c r="B28" s="18" t="s">
        <v>148</v>
      </c>
      <c r="C28" s="20">
        <v>607</v>
      </c>
      <c r="D28" s="20">
        <v>613</v>
      </c>
      <c r="E28" s="20">
        <v>613</v>
      </c>
      <c r="F28" s="20">
        <v>3</v>
      </c>
      <c r="G28" s="18">
        <f t="shared" si="0"/>
        <v>1839</v>
      </c>
      <c r="H28" s="18" t="s">
        <v>80</v>
      </c>
      <c r="I28" s="18">
        <v>2</v>
      </c>
      <c r="J28" s="18">
        <v>78</v>
      </c>
      <c r="K28" s="18">
        <f t="shared" si="1"/>
        <v>156</v>
      </c>
      <c r="L28" s="18">
        <f t="shared" si="2"/>
        <v>1995</v>
      </c>
    </row>
    <row r="29" ht="18" customHeight="1" spans="1:12">
      <c r="A29" s="18">
        <v>27</v>
      </c>
      <c r="B29" s="18" t="s">
        <v>149</v>
      </c>
      <c r="C29" s="20">
        <v>331</v>
      </c>
      <c r="D29" s="20">
        <v>379</v>
      </c>
      <c r="E29" s="20">
        <v>379</v>
      </c>
      <c r="F29" s="20">
        <v>3</v>
      </c>
      <c r="G29" s="18">
        <f t="shared" si="0"/>
        <v>1137</v>
      </c>
      <c r="H29" s="18" t="s">
        <v>82</v>
      </c>
      <c r="I29" s="18">
        <v>1</v>
      </c>
      <c r="J29" s="18">
        <v>81</v>
      </c>
      <c r="K29" s="18">
        <f t="shared" si="1"/>
        <v>81</v>
      </c>
      <c r="L29" s="18">
        <f t="shared" si="2"/>
        <v>1218</v>
      </c>
    </row>
    <row r="30" ht="18" customHeight="1" spans="1:12">
      <c r="A30" s="18">
        <v>28</v>
      </c>
      <c r="B30" s="18" t="s">
        <v>150</v>
      </c>
      <c r="C30" s="20">
        <v>348</v>
      </c>
      <c r="D30" s="20">
        <v>348</v>
      </c>
      <c r="E30" s="20">
        <v>348</v>
      </c>
      <c r="F30" s="20">
        <v>3</v>
      </c>
      <c r="G30" s="18">
        <f t="shared" si="0"/>
        <v>1044</v>
      </c>
      <c r="H30" s="18" t="s">
        <v>84</v>
      </c>
      <c r="I30" s="18">
        <v>0</v>
      </c>
      <c r="J30" s="18">
        <v>84</v>
      </c>
      <c r="K30" s="18">
        <f t="shared" si="1"/>
        <v>0</v>
      </c>
      <c r="L30" s="18">
        <f t="shared" si="2"/>
        <v>1044</v>
      </c>
    </row>
    <row r="31" ht="18" customHeight="1" spans="1:12">
      <c r="A31" s="18">
        <v>29</v>
      </c>
      <c r="B31" s="18" t="s">
        <v>151</v>
      </c>
      <c r="C31" s="20">
        <v>693</v>
      </c>
      <c r="D31" s="20">
        <v>675</v>
      </c>
      <c r="E31" s="20">
        <v>675</v>
      </c>
      <c r="F31" s="20">
        <v>3</v>
      </c>
      <c r="G31" s="18">
        <f t="shared" si="0"/>
        <v>2025</v>
      </c>
      <c r="H31" s="18" t="s">
        <v>86</v>
      </c>
      <c r="I31" s="18">
        <v>1</v>
      </c>
      <c r="J31" s="18">
        <v>87</v>
      </c>
      <c r="K31" s="18">
        <f t="shared" si="1"/>
        <v>87</v>
      </c>
      <c r="L31" s="18">
        <f t="shared" si="2"/>
        <v>2112</v>
      </c>
    </row>
    <row r="32" ht="18" customHeight="1" spans="1:12">
      <c r="A32" s="18">
        <v>30</v>
      </c>
      <c r="B32" s="18" t="s">
        <v>152</v>
      </c>
      <c r="C32" s="20">
        <v>653</v>
      </c>
      <c r="D32" s="20">
        <v>641</v>
      </c>
      <c r="E32" s="20">
        <v>641</v>
      </c>
      <c r="F32" s="20">
        <v>3</v>
      </c>
      <c r="G32" s="18">
        <f t="shared" si="0"/>
        <v>1923</v>
      </c>
      <c r="H32" s="18" t="s">
        <v>88</v>
      </c>
      <c r="I32" s="18">
        <v>0</v>
      </c>
      <c r="J32" s="18">
        <v>90</v>
      </c>
      <c r="K32" s="18">
        <f t="shared" si="1"/>
        <v>0</v>
      </c>
      <c r="L32" s="18">
        <f t="shared" si="2"/>
        <v>1923</v>
      </c>
    </row>
    <row r="33" ht="18" customHeight="1" spans="1:12">
      <c r="A33" s="18">
        <v>31</v>
      </c>
      <c r="B33" s="18" t="s">
        <v>153</v>
      </c>
      <c r="C33" s="22">
        <v>651</v>
      </c>
      <c r="D33" s="22">
        <v>646</v>
      </c>
      <c r="E33" s="22">
        <v>646</v>
      </c>
      <c r="F33" s="22">
        <v>3</v>
      </c>
      <c r="G33" s="18">
        <f t="shared" si="0"/>
        <v>1938</v>
      </c>
      <c r="H33" s="18" t="s">
        <v>90</v>
      </c>
      <c r="I33" s="18">
        <v>0</v>
      </c>
      <c r="J33" s="18">
        <v>93</v>
      </c>
      <c r="K33" s="18">
        <f t="shared" si="1"/>
        <v>0</v>
      </c>
      <c r="L33" s="18">
        <f t="shared" si="2"/>
        <v>1938</v>
      </c>
    </row>
    <row r="34" ht="18" customHeight="1" spans="1:12">
      <c r="A34" s="20" t="s">
        <v>23</v>
      </c>
      <c r="B34" s="11"/>
      <c r="C34" s="20">
        <v>16971</v>
      </c>
      <c r="D34" s="20">
        <v>17040</v>
      </c>
      <c r="E34" s="20">
        <v>17040</v>
      </c>
      <c r="F34" s="20">
        <v>3</v>
      </c>
      <c r="G34" s="18">
        <f t="shared" si="0"/>
        <v>51120</v>
      </c>
      <c r="H34" s="23"/>
      <c r="I34" s="25"/>
      <c r="J34" s="26"/>
      <c r="K34" s="24">
        <v>12888</v>
      </c>
      <c r="L34" s="18">
        <f t="shared" si="2"/>
        <v>64008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4" workbookViewId="0">
      <selection activeCell="I3" sqref="I3:I32"/>
    </sheetView>
  </sheetViews>
  <sheetFormatPr defaultColWidth="12.625" defaultRowHeight="22" customHeight="1"/>
  <cols>
    <col min="1" max="1" width="15.25" customWidth="1"/>
    <col min="2" max="2" width="18.125" customWidth="1"/>
    <col min="3" max="3" width="17.875" customWidth="1"/>
    <col min="4" max="4" width="16.5" customWidth="1"/>
    <col min="5" max="5" width="16.25" customWidth="1"/>
    <col min="6" max="6" width="19.75" customWidth="1"/>
    <col min="7" max="7" width="18.75" customWidth="1"/>
    <col min="8" max="8" width="10.75" customWidth="1"/>
    <col min="9" max="9" width="11" customWidth="1"/>
    <col min="10" max="10" width="10.625" customWidth="1"/>
    <col min="11" max="11" width="21.875" customWidth="1"/>
    <col min="12" max="12" width="15.125" customWidth="1"/>
    <col min="13" max="16384" width="12.625" customWidth="1"/>
  </cols>
  <sheetData>
    <row r="1" customHeight="1" spans="1:12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9" customHeight="1" spans="1:12">
      <c r="A3" s="3">
        <v>1</v>
      </c>
      <c r="B3" s="3" t="s">
        <v>155</v>
      </c>
      <c r="C3" s="3">
        <v>603</v>
      </c>
      <c r="D3" s="3">
        <v>618</v>
      </c>
      <c r="E3" s="3">
        <v>618</v>
      </c>
      <c r="F3" s="3">
        <v>3</v>
      </c>
      <c r="G3" s="3">
        <f t="shared" ref="G3:G33" si="0">E3*F3</f>
        <v>1854</v>
      </c>
      <c r="H3" s="3" t="s">
        <v>30</v>
      </c>
      <c r="I3" s="3">
        <v>1374</v>
      </c>
      <c r="J3" s="3">
        <v>3</v>
      </c>
      <c r="K3" s="3">
        <f t="shared" ref="K3:K32" si="1">I3*J3</f>
        <v>4122</v>
      </c>
      <c r="L3" s="3">
        <f t="shared" ref="L3:L33" si="2">G3+K3</f>
        <v>5976</v>
      </c>
    </row>
    <row r="4" ht="19" customHeight="1" spans="1:12">
      <c r="A4" s="3">
        <v>2</v>
      </c>
      <c r="B4" s="3" t="s">
        <v>156</v>
      </c>
      <c r="C4" s="3">
        <v>642</v>
      </c>
      <c r="D4" s="3">
        <v>668</v>
      </c>
      <c r="E4" s="3">
        <v>668</v>
      </c>
      <c r="F4" s="5">
        <v>3</v>
      </c>
      <c r="G4" s="3">
        <f t="shared" si="0"/>
        <v>2004</v>
      </c>
      <c r="H4" s="3" t="s">
        <v>32</v>
      </c>
      <c r="I4" s="3">
        <v>290</v>
      </c>
      <c r="J4" s="3">
        <v>6</v>
      </c>
      <c r="K4" s="3">
        <f t="shared" si="1"/>
        <v>1740</v>
      </c>
      <c r="L4" s="3">
        <f t="shared" si="2"/>
        <v>3744</v>
      </c>
    </row>
    <row r="5" ht="19" customHeight="1" spans="1:12">
      <c r="A5" s="3">
        <v>3</v>
      </c>
      <c r="B5" s="3" t="s">
        <v>157</v>
      </c>
      <c r="C5" s="3">
        <v>336</v>
      </c>
      <c r="D5" s="3">
        <v>351</v>
      </c>
      <c r="E5" s="3">
        <v>351</v>
      </c>
      <c r="F5" s="5">
        <v>3</v>
      </c>
      <c r="G5" s="3">
        <f t="shared" si="0"/>
        <v>1053</v>
      </c>
      <c r="H5" s="3" t="s">
        <v>34</v>
      </c>
      <c r="I5" s="3">
        <v>160</v>
      </c>
      <c r="J5" s="3">
        <v>9</v>
      </c>
      <c r="K5" s="3">
        <f t="shared" si="1"/>
        <v>1440</v>
      </c>
      <c r="L5" s="3">
        <f t="shared" si="2"/>
        <v>2493</v>
      </c>
    </row>
    <row r="6" ht="19" customHeight="1" spans="1:12">
      <c r="A6" s="3">
        <v>4</v>
      </c>
      <c r="B6" s="3" t="s">
        <v>158</v>
      </c>
      <c r="C6" s="3">
        <v>336</v>
      </c>
      <c r="D6" s="3">
        <v>346</v>
      </c>
      <c r="E6" s="3">
        <v>346</v>
      </c>
      <c r="F6" s="5">
        <v>3</v>
      </c>
      <c r="G6" s="3">
        <f t="shared" si="0"/>
        <v>1038</v>
      </c>
      <c r="H6" s="3" t="s">
        <v>36</v>
      </c>
      <c r="I6" s="3">
        <v>88</v>
      </c>
      <c r="J6" s="3">
        <v>12</v>
      </c>
      <c r="K6" s="3">
        <f t="shared" si="1"/>
        <v>1056</v>
      </c>
      <c r="L6" s="3">
        <f t="shared" si="2"/>
        <v>2094</v>
      </c>
    </row>
    <row r="7" ht="19" customHeight="1" spans="1:12">
      <c r="A7" s="3">
        <v>5</v>
      </c>
      <c r="B7" s="3" t="s">
        <v>159</v>
      </c>
      <c r="C7" s="3">
        <v>667</v>
      </c>
      <c r="D7" s="3">
        <v>652</v>
      </c>
      <c r="E7" s="3">
        <v>652</v>
      </c>
      <c r="F7" s="5">
        <v>3</v>
      </c>
      <c r="G7" s="3">
        <f t="shared" si="0"/>
        <v>1956</v>
      </c>
      <c r="H7" s="3" t="s">
        <v>38</v>
      </c>
      <c r="I7" s="3">
        <v>36</v>
      </c>
      <c r="J7" s="3">
        <v>15</v>
      </c>
      <c r="K7" s="3">
        <f t="shared" si="1"/>
        <v>540</v>
      </c>
      <c r="L7" s="3">
        <f t="shared" si="2"/>
        <v>2496</v>
      </c>
    </row>
    <row r="8" ht="19" customHeight="1" spans="1:12">
      <c r="A8" s="3">
        <v>6</v>
      </c>
      <c r="B8" s="3" t="s">
        <v>160</v>
      </c>
      <c r="C8" s="5">
        <v>626</v>
      </c>
      <c r="D8" s="5">
        <v>625</v>
      </c>
      <c r="E8" s="5">
        <v>625</v>
      </c>
      <c r="F8" s="5">
        <v>3</v>
      </c>
      <c r="G8" s="3">
        <f t="shared" si="0"/>
        <v>1875</v>
      </c>
      <c r="H8" s="3" t="s">
        <v>40</v>
      </c>
      <c r="I8" s="3">
        <v>23</v>
      </c>
      <c r="J8" s="3">
        <v>18</v>
      </c>
      <c r="K8" s="3">
        <f t="shared" si="1"/>
        <v>414</v>
      </c>
      <c r="L8" s="3">
        <f t="shared" si="2"/>
        <v>2289</v>
      </c>
    </row>
    <row r="9" ht="19" customHeight="1" spans="1:12">
      <c r="A9" s="3">
        <v>7</v>
      </c>
      <c r="B9" s="3" t="s">
        <v>161</v>
      </c>
      <c r="C9" s="5">
        <v>630</v>
      </c>
      <c r="D9" s="5">
        <v>639</v>
      </c>
      <c r="E9" s="5">
        <v>639</v>
      </c>
      <c r="F9" s="5">
        <v>3</v>
      </c>
      <c r="G9" s="3">
        <f t="shared" si="0"/>
        <v>1917</v>
      </c>
      <c r="H9" s="3" t="s">
        <v>42</v>
      </c>
      <c r="I9" s="3">
        <v>15</v>
      </c>
      <c r="J9" s="3">
        <v>21</v>
      </c>
      <c r="K9" s="3">
        <f t="shared" si="1"/>
        <v>315</v>
      </c>
      <c r="L9" s="3">
        <f t="shared" si="2"/>
        <v>2232</v>
      </c>
    </row>
    <row r="10" ht="19" customHeight="1" spans="1:12">
      <c r="A10" s="3">
        <v>8</v>
      </c>
      <c r="B10" s="3" t="s">
        <v>162</v>
      </c>
      <c r="C10" s="5">
        <v>639</v>
      </c>
      <c r="D10" s="5">
        <v>638</v>
      </c>
      <c r="E10" s="5">
        <v>638</v>
      </c>
      <c r="F10" s="5">
        <v>3</v>
      </c>
      <c r="G10" s="3">
        <f t="shared" si="0"/>
        <v>1914</v>
      </c>
      <c r="H10" s="3" t="s">
        <v>44</v>
      </c>
      <c r="I10" s="3">
        <v>3</v>
      </c>
      <c r="J10" s="3">
        <v>24</v>
      </c>
      <c r="K10" s="3">
        <f t="shared" si="1"/>
        <v>72</v>
      </c>
      <c r="L10" s="3">
        <f t="shared" si="2"/>
        <v>1986</v>
      </c>
    </row>
    <row r="11" ht="19" customHeight="1" spans="1:12">
      <c r="A11" s="3">
        <v>9</v>
      </c>
      <c r="B11" s="3" t="s">
        <v>163</v>
      </c>
      <c r="C11" s="5">
        <v>615</v>
      </c>
      <c r="D11" s="5">
        <v>636</v>
      </c>
      <c r="E11" s="5">
        <v>636</v>
      </c>
      <c r="F11" s="5">
        <v>3</v>
      </c>
      <c r="G11" s="3">
        <f t="shared" si="0"/>
        <v>1908</v>
      </c>
      <c r="H11" s="3" t="s">
        <v>46</v>
      </c>
      <c r="I11" s="3">
        <v>9</v>
      </c>
      <c r="J11" s="3">
        <v>27</v>
      </c>
      <c r="K11" s="3">
        <f t="shared" si="1"/>
        <v>243</v>
      </c>
      <c r="L11" s="3">
        <f t="shared" si="2"/>
        <v>2151</v>
      </c>
    </row>
    <row r="12" ht="19" customHeight="1" spans="1:12">
      <c r="A12" s="3">
        <v>10</v>
      </c>
      <c r="B12" s="3" t="s">
        <v>164</v>
      </c>
      <c r="C12" s="5">
        <v>301</v>
      </c>
      <c r="D12" s="5">
        <v>334</v>
      </c>
      <c r="E12" s="5">
        <v>334</v>
      </c>
      <c r="F12" s="5">
        <v>3</v>
      </c>
      <c r="G12" s="3">
        <f t="shared" si="0"/>
        <v>1002</v>
      </c>
      <c r="H12" s="3" t="s">
        <v>48</v>
      </c>
      <c r="I12" s="3">
        <v>6</v>
      </c>
      <c r="J12" s="3">
        <v>30</v>
      </c>
      <c r="K12" s="3">
        <f t="shared" si="1"/>
        <v>180</v>
      </c>
      <c r="L12" s="3">
        <f t="shared" si="2"/>
        <v>1182</v>
      </c>
    </row>
    <row r="13" ht="19" customHeight="1" spans="1:12">
      <c r="A13" s="3">
        <v>11</v>
      </c>
      <c r="B13" s="3" t="s">
        <v>165</v>
      </c>
      <c r="C13" s="5">
        <v>317</v>
      </c>
      <c r="D13" s="5">
        <v>306</v>
      </c>
      <c r="E13" s="5">
        <v>306</v>
      </c>
      <c r="F13" s="5">
        <v>3</v>
      </c>
      <c r="G13" s="3">
        <f t="shared" si="0"/>
        <v>918</v>
      </c>
      <c r="H13" s="3" t="s">
        <v>50</v>
      </c>
      <c r="I13" s="3">
        <v>5</v>
      </c>
      <c r="J13" s="3">
        <v>33</v>
      </c>
      <c r="K13" s="3">
        <f t="shared" si="1"/>
        <v>165</v>
      </c>
      <c r="L13" s="3">
        <f t="shared" si="2"/>
        <v>1083</v>
      </c>
    </row>
    <row r="14" ht="19" customHeight="1" spans="1:12">
      <c r="A14" s="3">
        <v>12</v>
      </c>
      <c r="B14" s="3" t="s">
        <v>166</v>
      </c>
      <c r="C14" s="5">
        <v>666</v>
      </c>
      <c r="D14" s="5">
        <v>654</v>
      </c>
      <c r="E14" s="5">
        <v>654</v>
      </c>
      <c r="F14" s="5">
        <v>3</v>
      </c>
      <c r="G14" s="3">
        <f t="shared" si="0"/>
        <v>1962</v>
      </c>
      <c r="H14" s="3" t="s">
        <v>52</v>
      </c>
      <c r="I14" s="3">
        <v>4</v>
      </c>
      <c r="J14" s="3">
        <v>36</v>
      </c>
      <c r="K14" s="3">
        <f t="shared" si="1"/>
        <v>144</v>
      </c>
      <c r="L14" s="3">
        <f t="shared" si="2"/>
        <v>2106</v>
      </c>
    </row>
    <row r="15" ht="19" customHeight="1" spans="1:12">
      <c r="A15" s="3">
        <v>13</v>
      </c>
      <c r="B15" s="3" t="s">
        <v>167</v>
      </c>
      <c r="C15" s="5">
        <v>616</v>
      </c>
      <c r="D15" s="5">
        <v>622</v>
      </c>
      <c r="E15" s="5">
        <v>622</v>
      </c>
      <c r="F15" s="5">
        <v>3</v>
      </c>
      <c r="G15" s="3">
        <f t="shared" si="0"/>
        <v>1866</v>
      </c>
      <c r="H15" s="3" t="s">
        <v>54</v>
      </c>
      <c r="I15" s="3">
        <v>3</v>
      </c>
      <c r="J15" s="3">
        <v>39</v>
      </c>
      <c r="K15" s="3">
        <f t="shared" si="1"/>
        <v>117</v>
      </c>
      <c r="L15" s="3">
        <f t="shared" si="2"/>
        <v>1983</v>
      </c>
    </row>
    <row r="16" ht="19" customHeight="1" spans="1:12">
      <c r="A16" s="3">
        <v>14</v>
      </c>
      <c r="B16" s="3" t="s">
        <v>168</v>
      </c>
      <c r="C16" s="5">
        <v>651</v>
      </c>
      <c r="D16" s="5">
        <v>656</v>
      </c>
      <c r="E16" s="5">
        <v>656</v>
      </c>
      <c r="F16" s="5">
        <v>3</v>
      </c>
      <c r="G16" s="3">
        <f t="shared" si="0"/>
        <v>1968</v>
      </c>
      <c r="H16" s="3" t="s">
        <v>56</v>
      </c>
      <c r="I16" s="3">
        <v>3</v>
      </c>
      <c r="J16" s="3">
        <v>42</v>
      </c>
      <c r="K16" s="3">
        <f t="shared" si="1"/>
        <v>126</v>
      </c>
      <c r="L16" s="3">
        <f t="shared" si="2"/>
        <v>2094</v>
      </c>
    </row>
    <row r="17" ht="19" customHeight="1" spans="1:12">
      <c r="A17" s="3">
        <v>15</v>
      </c>
      <c r="B17" s="3" t="s">
        <v>169</v>
      </c>
      <c r="C17" s="5">
        <v>641</v>
      </c>
      <c r="D17" s="5">
        <v>650</v>
      </c>
      <c r="E17" s="5">
        <v>650</v>
      </c>
      <c r="F17" s="5">
        <v>3</v>
      </c>
      <c r="G17" s="3">
        <f t="shared" si="0"/>
        <v>1950</v>
      </c>
      <c r="H17" s="3" t="s">
        <v>58</v>
      </c>
      <c r="I17" s="3">
        <v>1</v>
      </c>
      <c r="J17" s="3">
        <v>45</v>
      </c>
      <c r="K17" s="3">
        <f t="shared" si="1"/>
        <v>45</v>
      </c>
      <c r="L17" s="3">
        <f t="shared" si="2"/>
        <v>1995</v>
      </c>
    </row>
    <row r="18" ht="19" customHeight="1" spans="1:12">
      <c r="A18" s="3">
        <v>16</v>
      </c>
      <c r="B18" s="3" t="s">
        <v>170</v>
      </c>
      <c r="C18" s="5">
        <v>645</v>
      </c>
      <c r="D18" s="5">
        <v>666</v>
      </c>
      <c r="E18" s="5">
        <v>666</v>
      </c>
      <c r="F18" s="5">
        <v>3</v>
      </c>
      <c r="G18" s="3">
        <f t="shared" si="0"/>
        <v>1998</v>
      </c>
      <c r="H18" s="3" t="s">
        <v>60</v>
      </c>
      <c r="I18" s="3">
        <v>3</v>
      </c>
      <c r="J18" s="3">
        <v>48</v>
      </c>
      <c r="K18" s="3">
        <f t="shared" si="1"/>
        <v>144</v>
      </c>
      <c r="L18" s="3">
        <f t="shared" si="2"/>
        <v>2142</v>
      </c>
    </row>
    <row r="19" ht="19" customHeight="1" spans="1:12">
      <c r="A19" s="3">
        <v>17</v>
      </c>
      <c r="B19" s="3" t="s">
        <v>171</v>
      </c>
      <c r="C19" s="5">
        <v>414</v>
      </c>
      <c r="D19" s="5">
        <v>428</v>
      </c>
      <c r="E19" s="5">
        <v>428</v>
      </c>
      <c r="F19" s="5">
        <v>3</v>
      </c>
      <c r="G19" s="3">
        <f t="shared" si="0"/>
        <v>1284</v>
      </c>
      <c r="H19" s="3" t="s">
        <v>62</v>
      </c>
      <c r="I19" s="3">
        <v>2</v>
      </c>
      <c r="J19" s="3">
        <v>51</v>
      </c>
      <c r="K19" s="3">
        <f t="shared" si="1"/>
        <v>102</v>
      </c>
      <c r="L19" s="3">
        <f t="shared" si="2"/>
        <v>1386</v>
      </c>
    </row>
    <row r="20" ht="19" customHeight="1" spans="1:12">
      <c r="A20" s="3">
        <v>18</v>
      </c>
      <c r="B20" s="3" t="s">
        <v>172</v>
      </c>
      <c r="C20" s="5">
        <v>327</v>
      </c>
      <c r="D20" s="5">
        <v>325</v>
      </c>
      <c r="E20" s="5">
        <v>325</v>
      </c>
      <c r="F20" s="5">
        <v>3</v>
      </c>
      <c r="G20" s="3">
        <f t="shared" si="0"/>
        <v>975</v>
      </c>
      <c r="H20" s="3" t="s">
        <v>64</v>
      </c>
      <c r="I20" s="3">
        <v>2</v>
      </c>
      <c r="J20" s="3">
        <v>54</v>
      </c>
      <c r="K20" s="3">
        <f t="shared" si="1"/>
        <v>108</v>
      </c>
      <c r="L20" s="3">
        <f t="shared" si="2"/>
        <v>1083</v>
      </c>
    </row>
    <row r="21" ht="19" customHeight="1" spans="1:12">
      <c r="A21" s="3">
        <v>19</v>
      </c>
      <c r="B21" s="3" t="s">
        <v>173</v>
      </c>
      <c r="C21" s="5">
        <v>673</v>
      </c>
      <c r="D21" s="5">
        <v>666</v>
      </c>
      <c r="E21" s="5">
        <v>666</v>
      </c>
      <c r="F21" s="5">
        <v>3</v>
      </c>
      <c r="G21" s="3">
        <f t="shared" si="0"/>
        <v>1998</v>
      </c>
      <c r="H21" s="3" t="s">
        <v>66</v>
      </c>
      <c r="I21" s="3">
        <v>1</v>
      </c>
      <c r="J21" s="3">
        <v>57</v>
      </c>
      <c r="K21" s="3">
        <f t="shared" si="1"/>
        <v>57</v>
      </c>
      <c r="L21" s="3">
        <f t="shared" si="2"/>
        <v>2055</v>
      </c>
    </row>
    <row r="22" ht="19" customHeight="1" spans="1:12">
      <c r="A22" s="3">
        <v>20</v>
      </c>
      <c r="B22" s="3" t="s">
        <v>174</v>
      </c>
      <c r="C22" s="5">
        <v>644</v>
      </c>
      <c r="D22" s="5">
        <v>627</v>
      </c>
      <c r="E22" s="5">
        <v>627</v>
      </c>
      <c r="F22" s="5">
        <v>3</v>
      </c>
      <c r="G22" s="3">
        <f t="shared" si="0"/>
        <v>1881</v>
      </c>
      <c r="H22" s="3" t="s">
        <v>68</v>
      </c>
      <c r="I22" s="3">
        <v>2</v>
      </c>
      <c r="J22" s="3">
        <v>60</v>
      </c>
      <c r="K22" s="3">
        <f t="shared" si="1"/>
        <v>120</v>
      </c>
      <c r="L22" s="3">
        <f t="shared" si="2"/>
        <v>2001</v>
      </c>
    </row>
    <row r="23" ht="19" customHeight="1" spans="1:12">
      <c r="A23" s="3">
        <v>21</v>
      </c>
      <c r="B23" s="3" t="s">
        <v>175</v>
      </c>
      <c r="C23" s="5">
        <v>637</v>
      </c>
      <c r="D23" s="5">
        <v>672</v>
      </c>
      <c r="E23" s="5">
        <v>672</v>
      </c>
      <c r="F23" s="5">
        <v>3</v>
      </c>
      <c r="G23" s="3">
        <f t="shared" si="0"/>
        <v>2016</v>
      </c>
      <c r="H23" s="3" t="s">
        <v>70</v>
      </c>
      <c r="I23" s="3">
        <v>0</v>
      </c>
      <c r="J23" s="3">
        <v>63</v>
      </c>
      <c r="K23" s="3">
        <f t="shared" si="1"/>
        <v>0</v>
      </c>
      <c r="L23" s="3">
        <f t="shared" si="2"/>
        <v>2016</v>
      </c>
    </row>
    <row r="24" ht="19" customHeight="1" spans="1:12">
      <c r="A24" s="3">
        <v>22</v>
      </c>
      <c r="B24" s="3" t="s">
        <v>176</v>
      </c>
      <c r="C24" s="5">
        <v>322</v>
      </c>
      <c r="D24" s="5">
        <v>354</v>
      </c>
      <c r="E24" s="5">
        <v>354</v>
      </c>
      <c r="F24" s="5">
        <v>3</v>
      </c>
      <c r="G24" s="3">
        <f t="shared" si="0"/>
        <v>1062</v>
      </c>
      <c r="H24" s="3" t="s">
        <v>72</v>
      </c>
      <c r="I24" s="3">
        <v>1</v>
      </c>
      <c r="J24" s="3">
        <v>66</v>
      </c>
      <c r="K24" s="3">
        <f t="shared" si="1"/>
        <v>66</v>
      </c>
      <c r="L24" s="3">
        <f t="shared" si="2"/>
        <v>1128</v>
      </c>
    </row>
    <row r="25" ht="19" customHeight="1" spans="1:12">
      <c r="A25" s="3">
        <v>23</v>
      </c>
      <c r="B25" s="3" t="s">
        <v>177</v>
      </c>
      <c r="C25" s="5">
        <v>340</v>
      </c>
      <c r="D25" s="5">
        <v>344</v>
      </c>
      <c r="E25" s="5">
        <v>344</v>
      </c>
      <c r="F25" s="5">
        <v>3</v>
      </c>
      <c r="G25" s="3">
        <f t="shared" si="0"/>
        <v>1032</v>
      </c>
      <c r="H25" s="3" t="s">
        <v>74</v>
      </c>
      <c r="I25" s="3">
        <v>0</v>
      </c>
      <c r="J25" s="3">
        <v>69</v>
      </c>
      <c r="K25" s="3">
        <f t="shared" si="1"/>
        <v>0</v>
      </c>
      <c r="L25" s="3">
        <f t="shared" si="2"/>
        <v>1032</v>
      </c>
    </row>
    <row r="26" ht="19" customHeight="1" spans="1:12">
      <c r="A26" s="3">
        <v>24</v>
      </c>
      <c r="B26" s="3" t="s">
        <v>178</v>
      </c>
      <c r="C26" s="15">
        <v>344</v>
      </c>
      <c r="D26" s="5">
        <v>336</v>
      </c>
      <c r="E26" s="5">
        <v>336</v>
      </c>
      <c r="F26" s="5">
        <v>3</v>
      </c>
      <c r="G26" s="3">
        <f t="shared" si="0"/>
        <v>1008</v>
      </c>
      <c r="H26" s="3" t="s">
        <v>76</v>
      </c>
      <c r="I26" s="3">
        <v>1</v>
      </c>
      <c r="J26" s="3">
        <v>72</v>
      </c>
      <c r="K26" s="3">
        <f t="shared" si="1"/>
        <v>72</v>
      </c>
      <c r="L26" s="3">
        <f t="shared" si="2"/>
        <v>1080</v>
      </c>
    </row>
    <row r="27" ht="19" customHeight="1" spans="1:12">
      <c r="A27" s="3">
        <v>25</v>
      </c>
      <c r="B27" s="3" t="s">
        <v>179</v>
      </c>
      <c r="C27" s="5">
        <v>644</v>
      </c>
      <c r="D27" s="5">
        <v>631</v>
      </c>
      <c r="E27" s="5">
        <v>631</v>
      </c>
      <c r="F27" s="5">
        <v>3</v>
      </c>
      <c r="G27" s="3">
        <f t="shared" si="0"/>
        <v>1893</v>
      </c>
      <c r="H27" s="3" t="s">
        <v>78</v>
      </c>
      <c r="I27" s="3">
        <v>0</v>
      </c>
      <c r="J27" s="3">
        <v>75</v>
      </c>
      <c r="K27" s="3">
        <f t="shared" si="1"/>
        <v>0</v>
      </c>
      <c r="L27" s="3">
        <f t="shared" si="2"/>
        <v>1893</v>
      </c>
    </row>
    <row r="28" ht="19" customHeight="1" spans="1:12">
      <c r="A28" s="3">
        <v>26</v>
      </c>
      <c r="B28" s="3" t="s">
        <v>180</v>
      </c>
      <c r="C28" s="5">
        <v>647</v>
      </c>
      <c r="D28" s="5">
        <v>661</v>
      </c>
      <c r="E28" s="5">
        <v>661</v>
      </c>
      <c r="F28" s="5">
        <v>3</v>
      </c>
      <c r="G28" s="3">
        <f t="shared" si="0"/>
        <v>1983</v>
      </c>
      <c r="H28" s="3" t="s">
        <v>80</v>
      </c>
      <c r="I28" s="3">
        <v>0</v>
      </c>
      <c r="J28" s="3">
        <v>78</v>
      </c>
      <c r="K28" s="3">
        <f t="shared" si="1"/>
        <v>0</v>
      </c>
      <c r="L28" s="3">
        <f t="shared" si="2"/>
        <v>1983</v>
      </c>
    </row>
    <row r="29" ht="19" customHeight="1" spans="1:12">
      <c r="A29" s="3">
        <v>27</v>
      </c>
      <c r="B29" s="3" t="s">
        <v>181</v>
      </c>
      <c r="C29" s="5">
        <v>637</v>
      </c>
      <c r="D29" s="5">
        <v>624</v>
      </c>
      <c r="E29" s="5">
        <v>624</v>
      </c>
      <c r="F29" s="5">
        <v>3</v>
      </c>
      <c r="G29" s="3">
        <f t="shared" si="0"/>
        <v>1872</v>
      </c>
      <c r="H29" s="3" t="s">
        <v>82</v>
      </c>
      <c r="I29" s="3">
        <v>1</v>
      </c>
      <c r="J29" s="3">
        <v>81</v>
      </c>
      <c r="K29" s="3">
        <f t="shared" si="1"/>
        <v>81</v>
      </c>
      <c r="L29" s="3">
        <f t="shared" si="2"/>
        <v>1953</v>
      </c>
    </row>
    <row r="30" ht="19" customHeight="1" spans="1:12">
      <c r="A30" s="3">
        <v>28</v>
      </c>
      <c r="B30" s="3" t="s">
        <v>182</v>
      </c>
      <c r="C30" s="5">
        <v>648</v>
      </c>
      <c r="D30" s="5">
        <v>664</v>
      </c>
      <c r="E30" s="5">
        <v>664</v>
      </c>
      <c r="F30" s="5">
        <v>3</v>
      </c>
      <c r="G30" s="3">
        <f t="shared" si="0"/>
        <v>1992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3">
        <f t="shared" si="2"/>
        <v>1992</v>
      </c>
    </row>
    <row r="31" ht="19" customHeight="1" spans="1:12">
      <c r="A31" s="3">
        <v>29</v>
      </c>
      <c r="B31" s="3" t="s">
        <v>183</v>
      </c>
      <c r="C31" s="5">
        <v>684</v>
      </c>
      <c r="D31" s="5">
        <v>682</v>
      </c>
      <c r="E31" s="5">
        <v>682</v>
      </c>
      <c r="F31" s="5">
        <v>3</v>
      </c>
      <c r="G31" s="3">
        <f t="shared" si="0"/>
        <v>2046</v>
      </c>
      <c r="H31" s="3" t="s">
        <v>86</v>
      </c>
      <c r="I31" s="3">
        <v>1</v>
      </c>
      <c r="J31" s="3">
        <v>87</v>
      </c>
      <c r="K31" s="3">
        <f t="shared" si="1"/>
        <v>87</v>
      </c>
      <c r="L31" s="3">
        <f t="shared" si="2"/>
        <v>2133</v>
      </c>
    </row>
    <row r="32" ht="19" customHeight="1" spans="1:12">
      <c r="A32" s="3">
        <v>30</v>
      </c>
      <c r="B32" s="3" t="s">
        <v>184</v>
      </c>
      <c r="C32" s="5">
        <v>647</v>
      </c>
      <c r="D32" s="5">
        <v>679</v>
      </c>
      <c r="E32" s="5">
        <v>679</v>
      </c>
      <c r="F32" s="5">
        <v>3</v>
      </c>
      <c r="G32" s="3">
        <f t="shared" si="0"/>
        <v>2037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3">
        <f t="shared" si="2"/>
        <v>2037</v>
      </c>
    </row>
    <row r="33" ht="19" customHeight="1" spans="1:12">
      <c r="A33" s="5" t="s">
        <v>23</v>
      </c>
      <c r="B33" s="6"/>
      <c r="C33" s="5">
        <v>16539</v>
      </c>
      <c r="D33" s="5">
        <v>16754</v>
      </c>
      <c r="E33" s="5">
        <v>16754</v>
      </c>
      <c r="F33" s="5">
        <v>3</v>
      </c>
      <c r="G33" s="3">
        <f t="shared" si="0"/>
        <v>50262</v>
      </c>
      <c r="H33" s="7"/>
      <c r="I33" s="12"/>
      <c r="J33" s="13"/>
      <c r="K33" s="3">
        <v>11556</v>
      </c>
      <c r="L33" s="5">
        <f t="shared" si="2"/>
        <v>61818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I3" sqref="I3:I33"/>
    </sheetView>
  </sheetViews>
  <sheetFormatPr defaultColWidth="10.625" defaultRowHeight="22" customHeight="1"/>
  <cols>
    <col min="1" max="1" width="12.625" customWidth="1"/>
    <col min="2" max="2" width="16.875" customWidth="1"/>
    <col min="3" max="3" width="16.75" customWidth="1"/>
    <col min="4" max="4" width="15.75" customWidth="1"/>
    <col min="5" max="5" width="18.75" customWidth="1"/>
    <col min="6" max="6" width="20.25" customWidth="1"/>
    <col min="7" max="7" width="21.75" customWidth="1"/>
    <col min="8" max="8" width="10.25" customWidth="1"/>
    <col min="9" max="9" width="9.5" customWidth="1"/>
    <col min="10" max="10" width="10.875" customWidth="1"/>
    <col min="11" max="11" width="23.125" customWidth="1"/>
    <col min="12" max="12" width="17.5" customWidth="1"/>
    <col min="13" max="16384" width="10.625" customWidth="1"/>
  </cols>
  <sheetData>
    <row r="1" ht="30" customHeight="1" spans="1:12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6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186</v>
      </c>
      <c r="C3" s="3">
        <v>320</v>
      </c>
      <c r="D3" s="3">
        <v>357</v>
      </c>
      <c r="E3" s="3">
        <v>357</v>
      </c>
      <c r="F3" s="3">
        <v>3</v>
      </c>
      <c r="G3" s="3">
        <f t="shared" ref="G3:G34" si="0">E3*F3</f>
        <v>1071</v>
      </c>
      <c r="H3" s="3" t="s">
        <v>30</v>
      </c>
      <c r="I3" s="3">
        <v>1475</v>
      </c>
      <c r="J3" s="3">
        <v>3</v>
      </c>
      <c r="K3" s="3">
        <f t="shared" ref="K3:K33" si="1">I3*J3</f>
        <v>4425</v>
      </c>
      <c r="L3" s="11">
        <f t="shared" ref="L3:L34" si="2">G3+K3</f>
        <v>5496</v>
      </c>
    </row>
    <row r="4" ht="18" customHeight="1" spans="1:12">
      <c r="A4" s="3">
        <v>2</v>
      </c>
      <c r="B4" s="3" t="s">
        <v>187</v>
      </c>
      <c r="C4" s="3">
        <v>329</v>
      </c>
      <c r="D4" s="3">
        <v>315</v>
      </c>
      <c r="E4" s="3">
        <v>315</v>
      </c>
      <c r="F4" s="5">
        <v>3</v>
      </c>
      <c r="G4" s="3">
        <f t="shared" si="0"/>
        <v>945</v>
      </c>
      <c r="H4" s="3" t="s">
        <v>32</v>
      </c>
      <c r="I4" s="3">
        <v>299</v>
      </c>
      <c r="J4" s="3">
        <v>6</v>
      </c>
      <c r="K4" s="3">
        <f t="shared" si="1"/>
        <v>1794</v>
      </c>
      <c r="L4" s="11">
        <f t="shared" si="2"/>
        <v>2739</v>
      </c>
    </row>
    <row r="5" ht="18" customHeight="1" spans="1:12">
      <c r="A5" s="3">
        <v>3</v>
      </c>
      <c r="B5" s="3" t="s">
        <v>188</v>
      </c>
      <c r="C5" s="3">
        <v>688</v>
      </c>
      <c r="D5" s="3">
        <v>673</v>
      </c>
      <c r="E5" s="3">
        <v>673</v>
      </c>
      <c r="F5" s="5">
        <v>3</v>
      </c>
      <c r="G5" s="3">
        <f t="shared" si="0"/>
        <v>2019</v>
      </c>
      <c r="H5" s="3" t="s">
        <v>34</v>
      </c>
      <c r="I5" s="3">
        <v>158</v>
      </c>
      <c r="J5" s="3">
        <v>9</v>
      </c>
      <c r="K5" s="3">
        <f t="shared" si="1"/>
        <v>1422</v>
      </c>
      <c r="L5" s="11">
        <f t="shared" si="2"/>
        <v>3441</v>
      </c>
    </row>
    <row r="6" ht="18" customHeight="1" spans="1:12">
      <c r="A6" s="3">
        <v>4</v>
      </c>
      <c r="B6" s="3" t="s">
        <v>189</v>
      </c>
      <c r="C6" s="3">
        <v>624</v>
      </c>
      <c r="D6" s="3">
        <v>642</v>
      </c>
      <c r="E6" s="3">
        <v>642</v>
      </c>
      <c r="F6" s="5">
        <v>3</v>
      </c>
      <c r="G6" s="3">
        <f t="shared" si="0"/>
        <v>1926</v>
      </c>
      <c r="H6" s="3" t="s">
        <v>36</v>
      </c>
      <c r="I6" s="3">
        <v>109</v>
      </c>
      <c r="J6" s="3">
        <v>12</v>
      </c>
      <c r="K6" s="3">
        <f t="shared" si="1"/>
        <v>1308</v>
      </c>
      <c r="L6" s="11">
        <f t="shared" si="2"/>
        <v>3234</v>
      </c>
    </row>
    <row r="7" ht="18" customHeight="1" spans="1:12">
      <c r="A7" s="3">
        <v>5</v>
      </c>
      <c r="B7" s="3" t="s">
        <v>190</v>
      </c>
      <c r="C7" s="3">
        <v>658</v>
      </c>
      <c r="D7" s="3">
        <v>680</v>
      </c>
      <c r="E7" s="3">
        <v>680</v>
      </c>
      <c r="F7" s="5">
        <v>3</v>
      </c>
      <c r="G7" s="3">
        <f t="shared" si="0"/>
        <v>2040</v>
      </c>
      <c r="H7" s="3" t="s">
        <v>38</v>
      </c>
      <c r="I7" s="3">
        <v>45</v>
      </c>
      <c r="J7" s="3">
        <v>15</v>
      </c>
      <c r="K7" s="3">
        <f t="shared" si="1"/>
        <v>675</v>
      </c>
      <c r="L7" s="11">
        <f t="shared" si="2"/>
        <v>2715</v>
      </c>
    </row>
    <row r="8" ht="18" customHeight="1" spans="1:12">
      <c r="A8" s="3">
        <v>6</v>
      </c>
      <c r="B8" s="3" t="s">
        <v>191</v>
      </c>
      <c r="C8" s="5">
        <v>665</v>
      </c>
      <c r="D8" s="5">
        <v>653</v>
      </c>
      <c r="E8" s="5">
        <v>653</v>
      </c>
      <c r="F8" s="5">
        <v>3</v>
      </c>
      <c r="G8" s="3">
        <f t="shared" si="0"/>
        <v>1959</v>
      </c>
      <c r="H8" s="3" t="s">
        <v>40</v>
      </c>
      <c r="I8" s="3">
        <v>33</v>
      </c>
      <c r="J8" s="3">
        <v>18</v>
      </c>
      <c r="K8" s="3">
        <f t="shared" si="1"/>
        <v>594</v>
      </c>
      <c r="L8" s="11">
        <f t="shared" si="2"/>
        <v>2553</v>
      </c>
    </row>
    <row r="9" ht="18" customHeight="1" spans="1:12">
      <c r="A9" s="3">
        <v>7</v>
      </c>
      <c r="B9" s="3" t="s">
        <v>192</v>
      </c>
      <c r="C9" s="5">
        <v>581</v>
      </c>
      <c r="D9" s="5">
        <v>581</v>
      </c>
      <c r="E9" s="5">
        <v>581</v>
      </c>
      <c r="F9" s="5">
        <v>3</v>
      </c>
      <c r="G9" s="3">
        <f t="shared" si="0"/>
        <v>1743</v>
      </c>
      <c r="H9" s="3" t="s">
        <v>42</v>
      </c>
      <c r="I9" s="3">
        <v>15</v>
      </c>
      <c r="J9" s="3">
        <v>21</v>
      </c>
      <c r="K9" s="3">
        <f t="shared" si="1"/>
        <v>315</v>
      </c>
      <c r="L9" s="11">
        <f t="shared" si="2"/>
        <v>2058</v>
      </c>
    </row>
    <row r="10" ht="18" customHeight="1" spans="1:12">
      <c r="A10" s="3">
        <v>8</v>
      </c>
      <c r="B10" s="3" t="s">
        <v>193</v>
      </c>
      <c r="C10" s="5">
        <v>315</v>
      </c>
      <c r="D10" s="5">
        <v>372</v>
      </c>
      <c r="E10" s="5">
        <v>372</v>
      </c>
      <c r="F10" s="5">
        <v>3</v>
      </c>
      <c r="G10" s="3">
        <f t="shared" si="0"/>
        <v>1116</v>
      </c>
      <c r="H10" s="3" t="s">
        <v>44</v>
      </c>
      <c r="I10" s="3">
        <v>16</v>
      </c>
      <c r="J10" s="3">
        <v>24</v>
      </c>
      <c r="K10" s="3">
        <f t="shared" si="1"/>
        <v>384</v>
      </c>
      <c r="L10" s="11">
        <f t="shared" si="2"/>
        <v>1500</v>
      </c>
    </row>
    <row r="11" ht="18" customHeight="1" spans="1:12">
      <c r="A11" s="3">
        <v>9</v>
      </c>
      <c r="B11" s="3" t="s">
        <v>194</v>
      </c>
      <c r="C11" s="5">
        <v>348</v>
      </c>
      <c r="D11" s="5">
        <v>346</v>
      </c>
      <c r="E11" s="5">
        <v>346</v>
      </c>
      <c r="F11" s="5">
        <v>3</v>
      </c>
      <c r="G11" s="3">
        <f t="shared" si="0"/>
        <v>1038</v>
      </c>
      <c r="H11" s="3" t="s">
        <v>46</v>
      </c>
      <c r="I11" s="3">
        <v>10</v>
      </c>
      <c r="J11" s="3">
        <v>27</v>
      </c>
      <c r="K11" s="3">
        <f t="shared" si="1"/>
        <v>270</v>
      </c>
      <c r="L11" s="11">
        <f t="shared" si="2"/>
        <v>1308</v>
      </c>
    </row>
    <row r="12" ht="18" customHeight="1" spans="1:12">
      <c r="A12" s="3">
        <v>10</v>
      </c>
      <c r="B12" s="3" t="s">
        <v>195</v>
      </c>
      <c r="C12" s="5">
        <v>660</v>
      </c>
      <c r="D12" s="5">
        <v>631</v>
      </c>
      <c r="E12" s="5">
        <v>631</v>
      </c>
      <c r="F12" s="5">
        <v>3</v>
      </c>
      <c r="G12" s="3">
        <f t="shared" si="0"/>
        <v>1893</v>
      </c>
      <c r="H12" s="3" t="s">
        <v>48</v>
      </c>
      <c r="I12" s="3">
        <v>10</v>
      </c>
      <c r="J12" s="3">
        <v>30</v>
      </c>
      <c r="K12" s="3">
        <f t="shared" si="1"/>
        <v>300</v>
      </c>
      <c r="L12" s="11">
        <f t="shared" si="2"/>
        <v>2193</v>
      </c>
    </row>
    <row r="13" ht="18" customHeight="1" spans="1:12">
      <c r="A13" s="3">
        <v>11</v>
      </c>
      <c r="B13" s="3" t="s">
        <v>196</v>
      </c>
      <c r="C13" s="5">
        <v>650</v>
      </c>
      <c r="D13" s="5">
        <v>665</v>
      </c>
      <c r="E13" s="5">
        <v>665</v>
      </c>
      <c r="F13" s="5">
        <v>3</v>
      </c>
      <c r="G13" s="3">
        <f t="shared" si="0"/>
        <v>1995</v>
      </c>
      <c r="H13" s="3" t="s">
        <v>50</v>
      </c>
      <c r="I13" s="3">
        <v>5</v>
      </c>
      <c r="J13" s="3">
        <v>33</v>
      </c>
      <c r="K13" s="3">
        <f t="shared" si="1"/>
        <v>165</v>
      </c>
      <c r="L13" s="11">
        <f t="shared" si="2"/>
        <v>2160</v>
      </c>
    </row>
    <row r="14" ht="18" customHeight="1" spans="1:12">
      <c r="A14" s="3">
        <v>12</v>
      </c>
      <c r="B14" s="3" t="s">
        <v>197</v>
      </c>
      <c r="C14" s="5">
        <v>669</v>
      </c>
      <c r="D14" s="5">
        <v>672</v>
      </c>
      <c r="E14" s="5">
        <v>672</v>
      </c>
      <c r="F14" s="5">
        <v>3</v>
      </c>
      <c r="G14" s="3">
        <f t="shared" si="0"/>
        <v>2016</v>
      </c>
      <c r="H14" s="3" t="s">
        <v>52</v>
      </c>
      <c r="I14" s="3">
        <v>7</v>
      </c>
      <c r="J14" s="3">
        <v>36</v>
      </c>
      <c r="K14" s="3">
        <f t="shared" si="1"/>
        <v>252</v>
      </c>
      <c r="L14" s="11">
        <f t="shared" si="2"/>
        <v>2268</v>
      </c>
    </row>
    <row r="15" ht="18" customHeight="1" spans="1:12">
      <c r="A15" s="3">
        <v>13</v>
      </c>
      <c r="B15" s="3" t="s">
        <v>198</v>
      </c>
      <c r="C15" s="5">
        <v>654</v>
      </c>
      <c r="D15" s="5">
        <v>676</v>
      </c>
      <c r="E15" s="5">
        <v>676</v>
      </c>
      <c r="F15" s="5">
        <v>3</v>
      </c>
      <c r="G15" s="3">
        <f t="shared" si="0"/>
        <v>2028</v>
      </c>
      <c r="H15" s="3" t="s">
        <v>54</v>
      </c>
      <c r="I15" s="3">
        <v>3</v>
      </c>
      <c r="J15" s="3">
        <v>39</v>
      </c>
      <c r="K15" s="3">
        <f t="shared" si="1"/>
        <v>117</v>
      </c>
      <c r="L15" s="11">
        <f t="shared" si="2"/>
        <v>2145</v>
      </c>
    </row>
    <row r="16" ht="18" customHeight="1" spans="1:12">
      <c r="A16" s="3">
        <v>14</v>
      </c>
      <c r="B16" s="3" t="s">
        <v>199</v>
      </c>
      <c r="C16" s="5">
        <v>628</v>
      </c>
      <c r="D16" s="5">
        <v>620</v>
      </c>
      <c r="E16" s="5">
        <v>620</v>
      </c>
      <c r="F16" s="5">
        <v>3</v>
      </c>
      <c r="G16" s="3">
        <f t="shared" si="0"/>
        <v>1860</v>
      </c>
      <c r="H16" s="3" t="s">
        <v>56</v>
      </c>
      <c r="I16" s="3">
        <v>0</v>
      </c>
      <c r="J16" s="3">
        <v>42</v>
      </c>
      <c r="K16" s="3">
        <f t="shared" si="1"/>
        <v>0</v>
      </c>
      <c r="L16" s="11">
        <f t="shared" si="2"/>
        <v>1860</v>
      </c>
    </row>
    <row r="17" ht="18" customHeight="1" spans="1:12">
      <c r="A17" s="3">
        <v>15</v>
      </c>
      <c r="B17" s="3" t="s">
        <v>200</v>
      </c>
      <c r="C17" s="5">
        <v>359</v>
      </c>
      <c r="D17" s="5">
        <v>391</v>
      </c>
      <c r="E17" s="5">
        <v>391</v>
      </c>
      <c r="F17" s="5">
        <v>3</v>
      </c>
      <c r="G17" s="3">
        <f t="shared" si="0"/>
        <v>1173</v>
      </c>
      <c r="H17" s="3" t="s">
        <v>58</v>
      </c>
      <c r="I17" s="3">
        <v>4</v>
      </c>
      <c r="J17" s="3">
        <v>45</v>
      </c>
      <c r="K17" s="3">
        <f t="shared" si="1"/>
        <v>180</v>
      </c>
      <c r="L17" s="11">
        <f t="shared" si="2"/>
        <v>1353</v>
      </c>
    </row>
    <row r="18" ht="18" customHeight="1" spans="1:12">
      <c r="A18" s="3">
        <v>16</v>
      </c>
      <c r="B18" s="3" t="s">
        <v>201</v>
      </c>
      <c r="C18" s="5">
        <v>352</v>
      </c>
      <c r="D18" s="5">
        <v>359</v>
      </c>
      <c r="E18" s="5">
        <v>359</v>
      </c>
      <c r="F18" s="5">
        <v>3</v>
      </c>
      <c r="G18" s="3">
        <f t="shared" si="0"/>
        <v>1077</v>
      </c>
      <c r="H18" s="3" t="s">
        <v>60</v>
      </c>
      <c r="I18" s="3">
        <v>3</v>
      </c>
      <c r="J18" s="3">
        <v>48</v>
      </c>
      <c r="K18" s="3">
        <f t="shared" si="1"/>
        <v>144</v>
      </c>
      <c r="L18" s="11">
        <f t="shared" si="2"/>
        <v>1221</v>
      </c>
    </row>
    <row r="19" ht="18" customHeight="1" spans="1:12">
      <c r="A19" s="3">
        <v>17</v>
      </c>
      <c r="B19" s="3" t="s">
        <v>202</v>
      </c>
      <c r="C19" s="5">
        <v>677</v>
      </c>
      <c r="D19" s="5">
        <v>653</v>
      </c>
      <c r="E19" s="5">
        <v>653</v>
      </c>
      <c r="F19" s="5">
        <v>3</v>
      </c>
      <c r="G19" s="3">
        <f t="shared" si="0"/>
        <v>1959</v>
      </c>
      <c r="H19" s="3" t="s">
        <v>62</v>
      </c>
      <c r="I19" s="3">
        <v>0</v>
      </c>
      <c r="J19" s="3">
        <v>51</v>
      </c>
      <c r="K19" s="3">
        <f t="shared" si="1"/>
        <v>0</v>
      </c>
      <c r="L19" s="11">
        <f t="shared" si="2"/>
        <v>1959</v>
      </c>
    </row>
    <row r="20" ht="18" customHeight="1" spans="1:12">
      <c r="A20" s="3">
        <v>18</v>
      </c>
      <c r="B20" s="3" t="s">
        <v>203</v>
      </c>
      <c r="C20" s="5">
        <v>638</v>
      </c>
      <c r="D20" s="5">
        <v>614</v>
      </c>
      <c r="E20" s="5">
        <v>614</v>
      </c>
      <c r="F20" s="5">
        <v>3</v>
      </c>
      <c r="G20" s="3">
        <f t="shared" si="0"/>
        <v>1842</v>
      </c>
      <c r="H20" s="3" t="s">
        <v>64</v>
      </c>
      <c r="I20" s="3">
        <v>1</v>
      </c>
      <c r="J20" s="3">
        <v>54</v>
      </c>
      <c r="K20" s="3">
        <f t="shared" si="1"/>
        <v>54</v>
      </c>
      <c r="L20" s="11">
        <f t="shared" si="2"/>
        <v>1896</v>
      </c>
    </row>
    <row r="21" ht="18" customHeight="1" spans="1:12">
      <c r="A21" s="3">
        <v>19</v>
      </c>
      <c r="B21" s="3" t="s">
        <v>204</v>
      </c>
      <c r="C21" s="5">
        <v>636</v>
      </c>
      <c r="D21" s="5">
        <v>648</v>
      </c>
      <c r="E21" s="5">
        <v>648</v>
      </c>
      <c r="F21" s="5">
        <v>3</v>
      </c>
      <c r="G21" s="3">
        <f t="shared" si="0"/>
        <v>1944</v>
      </c>
      <c r="H21" s="3" t="s">
        <v>66</v>
      </c>
      <c r="I21" s="3">
        <v>0</v>
      </c>
      <c r="J21" s="3">
        <v>57</v>
      </c>
      <c r="K21" s="3">
        <f t="shared" si="1"/>
        <v>0</v>
      </c>
      <c r="L21" s="11">
        <f t="shared" si="2"/>
        <v>1944</v>
      </c>
    </row>
    <row r="22" ht="18" customHeight="1" spans="1:12">
      <c r="A22" s="3">
        <v>20</v>
      </c>
      <c r="B22" s="3" t="s">
        <v>205</v>
      </c>
      <c r="C22" s="5">
        <v>668</v>
      </c>
      <c r="D22" s="5">
        <v>676</v>
      </c>
      <c r="E22" s="5">
        <v>676</v>
      </c>
      <c r="F22" s="5">
        <v>3</v>
      </c>
      <c r="G22" s="3">
        <f t="shared" si="0"/>
        <v>2028</v>
      </c>
      <c r="H22" s="3" t="s">
        <v>68</v>
      </c>
      <c r="I22" s="3">
        <v>0</v>
      </c>
      <c r="J22" s="3">
        <v>60</v>
      </c>
      <c r="K22" s="3">
        <f t="shared" si="1"/>
        <v>0</v>
      </c>
      <c r="L22" s="11">
        <f t="shared" si="2"/>
        <v>2028</v>
      </c>
    </row>
    <row r="23" ht="18" customHeight="1" spans="1:12">
      <c r="A23" s="3">
        <v>21</v>
      </c>
      <c r="B23" s="3" t="s">
        <v>206</v>
      </c>
      <c r="C23" s="5">
        <v>648</v>
      </c>
      <c r="D23" s="5">
        <v>697</v>
      </c>
      <c r="E23" s="5">
        <v>697</v>
      </c>
      <c r="F23" s="5">
        <v>3</v>
      </c>
      <c r="G23" s="3">
        <f t="shared" si="0"/>
        <v>2091</v>
      </c>
      <c r="H23" s="3" t="s">
        <v>70</v>
      </c>
      <c r="I23" s="3">
        <v>1</v>
      </c>
      <c r="J23" s="3">
        <v>63</v>
      </c>
      <c r="K23" s="3">
        <f t="shared" si="1"/>
        <v>63</v>
      </c>
      <c r="L23" s="11">
        <f t="shared" si="2"/>
        <v>2154</v>
      </c>
    </row>
    <row r="24" ht="18" customHeight="1" spans="1:12">
      <c r="A24" s="3">
        <v>22</v>
      </c>
      <c r="B24" s="3" t="s">
        <v>207</v>
      </c>
      <c r="C24" s="5">
        <v>351</v>
      </c>
      <c r="D24" s="5">
        <v>367</v>
      </c>
      <c r="E24" s="5">
        <v>367</v>
      </c>
      <c r="F24" s="5">
        <v>3</v>
      </c>
      <c r="G24" s="3">
        <f t="shared" si="0"/>
        <v>1101</v>
      </c>
      <c r="H24" s="3" t="s">
        <v>72</v>
      </c>
      <c r="I24" s="3">
        <v>2</v>
      </c>
      <c r="J24" s="3">
        <v>66</v>
      </c>
      <c r="K24" s="3">
        <f t="shared" si="1"/>
        <v>132</v>
      </c>
      <c r="L24" s="11">
        <f t="shared" si="2"/>
        <v>1233</v>
      </c>
    </row>
    <row r="25" ht="18" customHeight="1" spans="1:12">
      <c r="A25" s="3">
        <v>23</v>
      </c>
      <c r="B25" s="3" t="s">
        <v>208</v>
      </c>
      <c r="C25" s="5">
        <v>339</v>
      </c>
      <c r="D25" s="5">
        <v>350</v>
      </c>
      <c r="E25" s="5">
        <v>350</v>
      </c>
      <c r="F25" s="5">
        <v>3</v>
      </c>
      <c r="G25" s="3">
        <f t="shared" si="0"/>
        <v>1050</v>
      </c>
      <c r="H25" s="3" t="s">
        <v>74</v>
      </c>
      <c r="I25" s="3">
        <v>0</v>
      </c>
      <c r="J25" s="3">
        <v>69</v>
      </c>
      <c r="K25" s="3">
        <f t="shared" si="1"/>
        <v>0</v>
      </c>
      <c r="L25" s="11">
        <f t="shared" si="2"/>
        <v>1050</v>
      </c>
    </row>
    <row r="26" ht="18" customHeight="1" spans="1:12">
      <c r="A26" s="3">
        <v>24</v>
      </c>
      <c r="B26" s="3" t="s">
        <v>209</v>
      </c>
      <c r="C26" s="5">
        <v>678</v>
      </c>
      <c r="D26" s="5">
        <v>648</v>
      </c>
      <c r="E26" s="5">
        <v>648</v>
      </c>
      <c r="F26" s="5">
        <v>3</v>
      </c>
      <c r="G26" s="3">
        <f t="shared" si="0"/>
        <v>1944</v>
      </c>
      <c r="H26" s="3" t="s">
        <v>76</v>
      </c>
      <c r="I26" s="3">
        <v>0</v>
      </c>
      <c r="J26" s="3">
        <v>72</v>
      </c>
      <c r="K26" s="3">
        <f t="shared" si="1"/>
        <v>0</v>
      </c>
      <c r="L26" s="11">
        <f t="shared" si="2"/>
        <v>1944</v>
      </c>
    </row>
    <row r="27" ht="18" customHeight="1" spans="1:12">
      <c r="A27" s="3">
        <v>25</v>
      </c>
      <c r="B27" s="3" t="s">
        <v>210</v>
      </c>
      <c r="C27" s="5">
        <v>657</v>
      </c>
      <c r="D27" s="5">
        <v>628</v>
      </c>
      <c r="E27" s="5">
        <v>628</v>
      </c>
      <c r="F27" s="5">
        <v>3</v>
      </c>
      <c r="G27" s="3">
        <f t="shared" si="0"/>
        <v>1884</v>
      </c>
      <c r="H27" s="3" t="s">
        <v>78</v>
      </c>
      <c r="I27" s="3">
        <v>1</v>
      </c>
      <c r="J27" s="3">
        <v>75</v>
      </c>
      <c r="K27" s="3">
        <f t="shared" si="1"/>
        <v>75</v>
      </c>
      <c r="L27" s="11">
        <f t="shared" si="2"/>
        <v>1959</v>
      </c>
    </row>
    <row r="28" ht="18" customHeight="1" spans="1:12">
      <c r="A28" s="3">
        <v>26</v>
      </c>
      <c r="B28" s="3" t="s">
        <v>211</v>
      </c>
      <c r="C28" s="5">
        <v>634</v>
      </c>
      <c r="D28" s="5">
        <v>668</v>
      </c>
      <c r="E28" s="5">
        <v>668</v>
      </c>
      <c r="F28" s="5">
        <v>3</v>
      </c>
      <c r="G28" s="3">
        <f t="shared" si="0"/>
        <v>2004</v>
      </c>
      <c r="H28" s="3" t="s">
        <v>80</v>
      </c>
      <c r="I28" s="3">
        <v>3</v>
      </c>
      <c r="J28" s="3">
        <v>78</v>
      </c>
      <c r="K28" s="3">
        <f t="shared" si="1"/>
        <v>234</v>
      </c>
      <c r="L28" s="11">
        <f t="shared" si="2"/>
        <v>2238</v>
      </c>
    </row>
    <row r="29" ht="18" customHeight="1" spans="1:12">
      <c r="A29" s="3">
        <v>27</v>
      </c>
      <c r="B29" s="3" t="s">
        <v>212</v>
      </c>
      <c r="C29" s="5">
        <v>670</v>
      </c>
      <c r="D29" s="5">
        <v>657</v>
      </c>
      <c r="E29" s="5">
        <v>657</v>
      </c>
      <c r="F29" s="5">
        <v>3</v>
      </c>
      <c r="G29" s="3">
        <f t="shared" si="0"/>
        <v>1971</v>
      </c>
      <c r="H29" s="3" t="s">
        <v>82</v>
      </c>
      <c r="I29" s="3">
        <v>0</v>
      </c>
      <c r="J29" s="3">
        <v>81</v>
      </c>
      <c r="K29" s="3">
        <f t="shared" si="1"/>
        <v>0</v>
      </c>
      <c r="L29" s="11">
        <f t="shared" si="2"/>
        <v>1971</v>
      </c>
    </row>
    <row r="30" ht="18" customHeight="1" spans="1:12">
      <c r="A30" s="3">
        <v>28</v>
      </c>
      <c r="B30" s="3" t="s">
        <v>213</v>
      </c>
      <c r="C30" s="5">
        <v>639</v>
      </c>
      <c r="D30" s="5">
        <v>690</v>
      </c>
      <c r="E30" s="5">
        <v>690</v>
      </c>
      <c r="F30" s="5">
        <v>3</v>
      </c>
      <c r="G30" s="3">
        <f t="shared" si="0"/>
        <v>2070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11">
        <f t="shared" si="2"/>
        <v>2070</v>
      </c>
    </row>
    <row r="31" ht="18" customHeight="1" spans="1:12">
      <c r="A31" s="3">
        <v>29</v>
      </c>
      <c r="B31" s="3" t="s">
        <v>214</v>
      </c>
      <c r="C31" s="5">
        <v>380</v>
      </c>
      <c r="D31" s="5">
        <v>394</v>
      </c>
      <c r="E31" s="5">
        <v>394</v>
      </c>
      <c r="F31" s="5">
        <v>3</v>
      </c>
      <c r="G31" s="3">
        <f t="shared" si="0"/>
        <v>1182</v>
      </c>
      <c r="H31" s="3" t="s">
        <v>86</v>
      </c>
      <c r="I31" s="3">
        <v>2</v>
      </c>
      <c r="J31" s="3">
        <v>87</v>
      </c>
      <c r="K31" s="3">
        <f t="shared" si="1"/>
        <v>174</v>
      </c>
      <c r="L31" s="11">
        <f t="shared" si="2"/>
        <v>1356</v>
      </c>
    </row>
    <row r="32" ht="18" customHeight="1" spans="1:12">
      <c r="A32" s="3">
        <v>30</v>
      </c>
      <c r="B32" s="3" t="s">
        <v>215</v>
      </c>
      <c r="C32" s="5">
        <v>358</v>
      </c>
      <c r="D32" s="5">
        <v>361</v>
      </c>
      <c r="E32" s="5">
        <v>361</v>
      </c>
      <c r="F32" s="5">
        <v>3</v>
      </c>
      <c r="G32" s="3">
        <f t="shared" si="0"/>
        <v>1083</v>
      </c>
      <c r="H32" s="3" t="s">
        <v>88</v>
      </c>
      <c r="I32" s="3">
        <v>1</v>
      </c>
      <c r="J32" s="3">
        <v>90</v>
      </c>
      <c r="K32" s="3">
        <f t="shared" si="1"/>
        <v>90</v>
      </c>
      <c r="L32" s="11">
        <f t="shared" si="2"/>
        <v>1173</v>
      </c>
    </row>
    <row r="33" ht="18" customHeight="1" spans="1:12">
      <c r="A33" s="5">
        <v>31</v>
      </c>
      <c r="B33" s="3" t="s">
        <v>216</v>
      </c>
      <c r="C33" s="5">
        <v>669</v>
      </c>
      <c r="D33" s="5">
        <v>665</v>
      </c>
      <c r="E33" s="5">
        <v>665</v>
      </c>
      <c r="F33" s="5">
        <v>3</v>
      </c>
      <c r="G33" s="3">
        <f t="shared" si="0"/>
        <v>1995</v>
      </c>
      <c r="H33" s="3" t="s">
        <v>90</v>
      </c>
      <c r="I33" s="3">
        <v>0</v>
      </c>
      <c r="J33" s="3">
        <v>93</v>
      </c>
      <c r="K33" s="3">
        <f t="shared" si="1"/>
        <v>0</v>
      </c>
      <c r="L33" s="11">
        <f t="shared" si="2"/>
        <v>1995</v>
      </c>
    </row>
    <row r="34" ht="18" customHeight="1" spans="1:12">
      <c r="A34" s="5" t="s">
        <v>23</v>
      </c>
      <c r="B34" s="6"/>
      <c r="C34" s="5">
        <v>17142</v>
      </c>
      <c r="D34" s="5">
        <v>17349</v>
      </c>
      <c r="E34" s="5">
        <v>17349</v>
      </c>
      <c r="F34" s="5">
        <v>3</v>
      </c>
      <c r="G34" s="3">
        <f t="shared" si="0"/>
        <v>52047</v>
      </c>
      <c r="H34" s="7"/>
      <c r="I34" s="12"/>
      <c r="J34" s="13"/>
      <c r="K34" s="3">
        <v>13167</v>
      </c>
      <c r="L34" s="11">
        <f t="shared" si="2"/>
        <v>65214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4" workbookViewId="0">
      <selection activeCell="I3" sqref="I3:I33"/>
    </sheetView>
  </sheetViews>
  <sheetFormatPr defaultColWidth="11.5" defaultRowHeight="22" customHeight="1"/>
  <cols>
    <col min="1" max="1" width="13.25" customWidth="1"/>
    <col min="2" max="2" width="17.125" customWidth="1"/>
    <col min="3" max="3" width="15.875" customWidth="1"/>
    <col min="4" max="4" width="17" customWidth="1"/>
    <col min="5" max="5" width="19.375" customWidth="1"/>
    <col min="6" max="6" width="17.625" customWidth="1"/>
    <col min="7" max="7" width="19.625" customWidth="1"/>
    <col min="8" max="8" width="11.625" customWidth="1"/>
    <col min="9" max="9" width="11.5" customWidth="1"/>
    <col min="10" max="10" width="12.875" customWidth="1"/>
    <col min="11" max="11" width="21" customWidth="1"/>
    <col min="12" max="12" width="14.25" customWidth="1"/>
    <col min="13" max="16384" width="11.5" customWidth="1"/>
  </cols>
  <sheetData>
    <row r="1" ht="30" customHeight="1" spans="1:12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7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218</v>
      </c>
      <c r="C3" s="3">
        <v>658</v>
      </c>
      <c r="D3" s="3">
        <v>653</v>
      </c>
      <c r="E3" s="3">
        <v>653</v>
      </c>
      <c r="F3" s="3">
        <v>3</v>
      </c>
      <c r="G3" s="3">
        <f t="shared" ref="G3:G34" si="0">E3*F3</f>
        <v>1959</v>
      </c>
      <c r="H3" s="3" t="s">
        <v>30</v>
      </c>
      <c r="I3" s="3">
        <v>1458</v>
      </c>
      <c r="J3" s="3">
        <v>3</v>
      </c>
      <c r="K3" s="3">
        <f t="shared" ref="K3:K33" si="1">I3*J3</f>
        <v>4374</v>
      </c>
      <c r="L3" s="11">
        <f t="shared" ref="L3:L34" si="2">G3+K3</f>
        <v>6333</v>
      </c>
    </row>
    <row r="4" ht="18" customHeight="1" spans="1:12">
      <c r="A4" s="3">
        <v>2</v>
      </c>
      <c r="B4" s="3" t="s">
        <v>219</v>
      </c>
      <c r="C4" s="3">
        <v>657</v>
      </c>
      <c r="D4" s="3">
        <v>676</v>
      </c>
      <c r="E4" s="3">
        <v>676</v>
      </c>
      <c r="F4" s="5">
        <v>3</v>
      </c>
      <c r="G4" s="3">
        <f t="shared" si="0"/>
        <v>2028</v>
      </c>
      <c r="H4" s="3" t="s">
        <v>32</v>
      </c>
      <c r="I4" s="3">
        <v>321</v>
      </c>
      <c r="J4" s="3">
        <v>6</v>
      </c>
      <c r="K4" s="3">
        <f t="shared" si="1"/>
        <v>1926</v>
      </c>
      <c r="L4" s="11">
        <f t="shared" si="2"/>
        <v>3954</v>
      </c>
    </row>
    <row r="5" ht="18" customHeight="1" spans="1:12">
      <c r="A5" s="3">
        <v>3</v>
      </c>
      <c r="B5" s="3" t="s">
        <v>220</v>
      </c>
      <c r="C5" s="3">
        <v>645</v>
      </c>
      <c r="D5" s="3">
        <v>660</v>
      </c>
      <c r="E5" s="3">
        <v>660</v>
      </c>
      <c r="F5" s="5">
        <v>3</v>
      </c>
      <c r="G5" s="3">
        <f t="shared" si="0"/>
        <v>1980</v>
      </c>
      <c r="H5" s="3" t="s">
        <v>34</v>
      </c>
      <c r="I5" s="3">
        <v>170</v>
      </c>
      <c r="J5" s="3">
        <v>9</v>
      </c>
      <c r="K5" s="3">
        <f t="shared" si="1"/>
        <v>1530</v>
      </c>
      <c r="L5" s="11">
        <f t="shared" si="2"/>
        <v>3510</v>
      </c>
    </row>
    <row r="6" ht="18" customHeight="1" spans="1:12">
      <c r="A6" s="3">
        <v>4</v>
      </c>
      <c r="B6" s="3" t="s">
        <v>221</v>
      </c>
      <c r="C6" s="3">
        <v>594</v>
      </c>
      <c r="D6" s="3">
        <v>632</v>
      </c>
      <c r="E6" s="3">
        <v>632</v>
      </c>
      <c r="F6" s="5">
        <v>3</v>
      </c>
      <c r="G6" s="3">
        <f t="shared" si="0"/>
        <v>1896</v>
      </c>
      <c r="H6" s="3" t="s">
        <v>36</v>
      </c>
      <c r="I6" s="3">
        <v>106</v>
      </c>
      <c r="J6" s="3">
        <v>12</v>
      </c>
      <c r="K6" s="3">
        <f t="shared" si="1"/>
        <v>1272</v>
      </c>
      <c r="L6" s="11">
        <f t="shared" si="2"/>
        <v>3168</v>
      </c>
    </row>
    <row r="7" ht="18" customHeight="1" spans="1:12">
      <c r="A7" s="3">
        <v>5</v>
      </c>
      <c r="B7" s="3" t="s">
        <v>222</v>
      </c>
      <c r="C7" s="3">
        <v>314</v>
      </c>
      <c r="D7" s="3">
        <v>363</v>
      </c>
      <c r="E7" s="3">
        <v>363</v>
      </c>
      <c r="F7" s="5">
        <v>3</v>
      </c>
      <c r="G7" s="3">
        <f t="shared" si="0"/>
        <v>1089</v>
      </c>
      <c r="H7" s="3" t="s">
        <v>38</v>
      </c>
      <c r="I7" s="3">
        <v>37</v>
      </c>
      <c r="J7" s="3">
        <v>15</v>
      </c>
      <c r="K7" s="3">
        <f t="shared" si="1"/>
        <v>555</v>
      </c>
      <c r="L7" s="11">
        <f t="shared" si="2"/>
        <v>1644</v>
      </c>
    </row>
    <row r="8" ht="18" customHeight="1" spans="1:12">
      <c r="A8" s="3">
        <v>6</v>
      </c>
      <c r="B8" s="3" t="s">
        <v>223</v>
      </c>
      <c r="C8" s="5">
        <v>337</v>
      </c>
      <c r="D8" s="5">
        <v>319</v>
      </c>
      <c r="E8" s="5">
        <v>319</v>
      </c>
      <c r="F8" s="5">
        <v>3</v>
      </c>
      <c r="G8" s="3">
        <f t="shared" si="0"/>
        <v>957</v>
      </c>
      <c r="H8" s="3" t="s">
        <v>40</v>
      </c>
      <c r="I8" s="3">
        <v>32</v>
      </c>
      <c r="J8" s="3">
        <v>18</v>
      </c>
      <c r="K8" s="3">
        <f t="shared" si="1"/>
        <v>576</v>
      </c>
      <c r="L8" s="11">
        <f t="shared" si="2"/>
        <v>1533</v>
      </c>
    </row>
    <row r="9" ht="18" customHeight="1" spans="1:12">
      <c r="A9" s="3">
        <v>7</v>
      </c>
      <c r="B9" s="3" t="s">
        <v>224</v>
      </c>
      <c r="C9" s="5">
        <v>664</v>
      </c>
      <c r="D9" s="5">
        <v>656</v>
      </c>
      <c r="E9" s="5">
        <v>656</v>
      </c>
      <c r="F9" s="5">
        <v>3</v>
      </c>
      <c r="G9" s="3">
        <f t="shared" si="0"/>
        <v>1968</v>
      </c>
      <c r="H9" s="3" t="s">
        <v>42</v>
      </c>
      <c r="I9" s="3">
        <v>21</v>
      </c>
      <c r="J9" s="3">
        <v>21</v>
      </c>
      <c r="K9" s="3">
        <f t="shared" si="1"/>
        <v>441</v>
      </c>
      <c r="L9" s="11">
        <f t="shared" si="2"/>
        <v>2409</v>
      </c>
    </row>
    <row r="10" ht="18" customHeight="1" spans="1:12">
      <c r="A10" s="3">
        <v>8</v>
      </c>
      <c r="B10" s="3" t="s">
        <v>225</v>
      </c>
      <c r="C10" s="5">
        <v>630</v>
      </c>
      <c r="D10" s="5">
        <v>623</v>
      </c>
      <c r="E10" s="5">
        <v>623</v>
      </c>
      <c r="F10" s="5">
        <v>3</v>
      </c>
      <c r="G10" s="3">
        <f t="shared" si="0"/>
        <v>1869</v>
      </c>
      <c r="H10" s="3" t="s">
        <v>44</v>
      </c>
      <c r="I10" s="3">
        <v>13</v>
      </c>
      <c r="J10" s="3">
        <v>24</v>
      </c>
      <c r="K10" s="3">
        <f t="shared" si="1"/>
        <v>312</v>
      </c>
      <c r="L10" s="11">
        <f t="shared" si="2"/>
        <v>2181</v>
      </c>
    </row>
    <row r="11" ht="18" customHeight="1" spans="1:12">
      <c r="A11" s="3">
        <v>9</v>
      </c>
      <c r="B11" s="3" t="s">
        <v>226</v>
      </c>
      <c r="C11" s="5">
        <v>644</v>
      </c>
      <c r="D11" s="5">
        <v>647</v>
      </c>
      <c r="E11" s="5">
        <v>647</v>
      </c>
      <c r="F11" s="5">
        <v>3</v>
      </c>
      <c r="G11" s="3">
        <f t="shared" si="0"/>
        <v>1941</v>
      </c>
      <c r="H11" s="3" t="s">
        <v>46</v>
      </c>
      <c r="I11" s="3">
        <v>14</v>
      </c>
      <c r="J11" s="3">
        <v>27</v>
      </c>
      <c r="K11" s="3">
        <f t="shared" si="1"/>
        <v>378</v>
      </c>
      <c r="L11" s="11">
        <f t="shared" si="2"/>
        <v>2319</v>
      </c>
    </row>
    <row r="12" ht="18" customHeight="1" spans="1:12">
      <c r="A12" s="3">
        <v>10</v>
      </c>
      <c r="B12" s="3" t="s">
        <v>227</v>
      </c>
      <c r="C12" s="5">
        <v>627</v>
      </c>
      <c r="D12" s="5">
        <v>640</v>
      </c>
      <c r="E12" s="5">
        <v>640</v>
      </c>
      <c r="F12" s="5">
        <v>3</v>
      </c>
      <c r="G12" s="3">
        <f t="shared" si="0"/>
        <v>1920</v>
      </c>
      <c r="H12" s="3" t="s">
        <v>48</v>
      </c>
      <c r="I12" s="3">
        <v>10</v>
      </c>
      <c r="J12" s="3">
        <v>30</v>
      </c>
      <c r="K12" s="3">
        <f t="shared" si="1"/>
        <v>300</v>
      </c>
      <c r="L12" s="11">
        <f t="shared" si="2"/>
        <v>2220</v>
      </c>
    </row>
    <row r="13" ht="18" customHeight="1" spans="1:12">
      <c r="A13" s="3">
        <v>11</v>
      </c>
      <c r="B13" s="3" t="s">
        <v>228</v>
      </c>
      <c r="C13" s="5">
        <v>600</v>
      </c>
      <c r="D13" s="5">
        <v>635</v>
      </c>
      <c r="E13" s="5">
        <v>635</v>
      </c>
      <c r="F13" s="5">
        <v>3</v>
      </c>
      <c r="G13" s="3">
        <f t="shared" si="0"/>
        <v>1905</v>
      </c>
      <c r="H13" s="3" t="s">
        <v>50</v>
      </c>
      <c r="I13" s="3">
        <v>5</v>
      </c>
      <c r="J13" s="3">
        <v>33</v>
      </c>
      <c r="K13" s="3">
        <f t="shared" si="1"/>
        <v>165</v>
      </c>
      <c r="L13" s="11">
        <f t="shared" si="2"/>
        <v>2070</v>
      </c>
    </row>
    <row r="14" ht="18" customHeight="1" spans="1:12">
      <c r="A14" s="3">
        <v>12</v>
      </c>
      <c r="B14" s="3" t="s">
        <v>229</v>
      </c>
      <c r="C14" s="5">
        <v>357</v>
      </c>
      <c r="D14" s="5">
        <v>373</v>
      </c>
      <c r="E14" s="5">
        <v>373</v>
      </c>
      <c r="F14" s="5">
        <v>3</v>
      </c>
      <c r="G14" s="3">
        <f t="shared" si="0"/>
        <v>1119</v>
      </c>
      <c r="H14" s="3" t="s">
        <v>52</v>
      </c>
      <c r="I14" s="3">
        <v>5</v>
      </c>
      <c r="J14" s="3">
        <v>36</v>
      </c>
      <c r="K14" s="3">
        <f t="shared" si="1"/>
        <v>180</v>
      </c>
      <c r="L14" s="11">
        <f t="shared" si="2"/>
        <v>1299</v>
      </c>
    </row>
    <row r="15" ht="18" customHeight="1" spans="1:12">
      <c r="A15" s="3">
        <v>13</v>
      </c>
      <c r="B15" s="3" t="s">
        <v>230</v>
      </c>
      <c r="C15" s="5">
        <v>342</v>
      </c>
      <c r="D15" s="5">
        <v>337</v>
      </c>
      <c r="E15" s="5">
        <v>337</v>
      </c>
      <c r="F15" s="5">
        <v>3</v>
      </c>
      <c r="G15" s="3">
        <f t="shared" si="0"/>
        <v>1011</v>
      </c>
      <c r="H15" s="3" t="s">
        <v>54</v>
      </c>
      <c r="I15" s="3">
        <v>7</v>
      </c>
      <c r="J15" s="3">
        <v>39</v>
      </c>
      <c r="K15" s="3">
        <f t="shared" si="1"/>
        <v>273</v>
      </c>
      <c r="L15" s="11">
        <f t="shared" si="2"/>
        <v>1284</v>
      </c>
    </row>
    <row r="16" ht="18" customHeight="1" spans="1:12">
      <c r="A16" s="3">
        <v>14</v>
      </c>
      <c r="B16" s="3" t="s">
        <v>231</v>
      </c>
      <c r="C16" s="5">
        <v>660</v>
      </c>
      <c r="D16" s="5">
        <v>633</v>
      </c>
      <c r="E16" s="5">
        <v>633</v>
      </c>
      <c r="F16" s="5">
        <v>3</v>
      </c>
      <c r="G16" s="3">
        <f t="shared" si="0"/>
        <v>1899</v>
      </c>
      <c r="H16" s="3" t="s">
        <v>56</v>
      </c>
      <c r="I16" s="3">
        <v>1</v>
      </c>
      <c r="J16" s="3">
        <v>42</v>
      </c>
      <c r="K16" s="3">
        <f t="shared" si="1"/>
        <v>42</v>
      </c>
      <c r="L16" s="11">
        <f t="shared" si="2"/>
        <v>1941</v>
      </c>
    </row>
    <row r="17" ht="18" customHeight="1" spans="1:12">
      <c r="A17" s="3">
        <v>15</v>
      </c>
      <c r="B17" s="3" t="s">
        <v>232</v>
      </c>
      <c r="C17" s="5">
        <v>644</v>
      </c>
      <c r="D17" s="5">
        <v>619</v>
      </c>
      <c r="E17" s="5">
        <v>619</v>
      </c>
      <c r="F17" s="5">
        <v>3</v>
      </c>
      <c r="G17" s="3">
        <f t="shared" si="0"/>
        <v>1857</v>
      </c>
      <c r="H17" s="3" t="s">
        <v>58</v>
      </c>
      <c r="I17" s="3">
        <v>3</v>
      </c>
      <c r="J17" s="3">
        <v>45</v>
      </c>
      <c r="K17" s="3">
        <f t="shared" si="1"/>
        <v>135</v>
      </c>
      <c r="L17" s="11">
        <f t="shared" si="2"/>
        <v>1992</v>
      </c>
    </row>
    <row r="18" ht="18" customHeight="1" spans="1:12">
      <c r="A18" s="3">
        <v>16</v>
      </c>
      <c r="B18" s="3" t="s">
        <v>233</v>
      </c>
      <c r="C18" s="5">
        <v>619</v>
      </c>
      <c r="D18" s="5">
        <v>642</v>
      </c>
      <c r="E18" s="5">
        <v>642</v>
      </c>
      <c r="F18" s="5">
        <v>3</v>
      </c>
      <c r="G18" s="3">
        <f t="shared" si="0"/>
        <v>1926</v>
      </c>
      <c r="H18" s="3" t="s">
        <v>60</v>
      </c>
      <c r="I18" s="3">
        <v>2</v>
      </c>
      <c r="J18" s="3">
        <v>48</v>
      </c>
      <c r="K18" s="3">
        <f t="shared" si="1"/>
        <v>96</v>
      </c>
      <c r="L18" s="11">
        <f t="shared" si="2"/>
        <v>2022</v>
      </c>
    </row>
    <row r="19" ht="18" customHeight="1" spans="1:12">
      <c r="A19" s="3">
        <v>17</v>
      </c>
      <c r="B19" s="3" t="s">
        <v>234</v>
      </c>
      <c r="C19" s="5">
        <v>637</v>
      </c>
      <c r="D19" s="5">
        <v>641</v>
      </c>
      <c r="E19" s="5">
        <v>641</v>
      </c>
      <c r="F19" s="5">
        <v>3</v>
      </c>
      <c r="G19" s="3">
        <f t="shared" si="0"/>
        <v>1923</v>
      </c>
      <c r="H19" s="3" t="s">
        <v>62</v>
      </c>
      <c r="I19" s="3">
        <v>1</v>
      </c>
      <c r="J19" s="3">
        <v>51</v>
      </c>
      <c r="K19" s="3">
        <f t="shared" si="1"/>
        <v>51</v>
      </c>
      <c r="L19" s="11">
        <f t="shared" si="2"/>
        <v>1974</v>
      </c>
    </row>
    <row r="20" ht="18" customHeight="1" spans="1:12">
      <c r="A20" s="3">
        <v>18</v>
      </c>
      <c r="B20" s="3" t="s">
        <v>235</v>
      </c>
      <c r="C20" s="5">
        <v>637</v>
      </c>
      <c r="D20" s="5">
        <v>652</v>
      </c>
      <c r="E20" s="5">
        <v>652</v>
      </c>
      <c r="F20" s="5">
        <v>3</v>
      </c>
      <c r="G20" s="3">
        <f t="shared" si="0"/>
        <v>1956</v>
      </c>
      <c r="H20" s="3" t="s">
        <v>64</v>
      </c>
      <c r="I20" s="3">
        <v>1</v>
      </c>
      <c r="J20" s="3">
        <v>54</v>
      </c>
      <c r="K20" s="3">
        <f t="shared" si="1"/>
        <v>54</v>
      </c>
      <c r="L20" s="11">
        <f t="shared" si="2"/>
        <v>2010</v>
      </c>
    </row>
    <row r="21" ht="18" customHeight="1" spans="1:12">
      <c r="A21" s="3">
        <v>19</v>
      </c>
      <c r="B21" s="3" t="s">
        <v>236</v>
      </c>
      <c r="C21" s="5">
        <v>312</v>
      </c>
      <c r="D21" s="5">
        <v>346</v>
      </c>
      <c r="E21" s="5">
        <v>346</v>
      </c>
      <c r="F21" s="5">
        <v>3</v>
      </c>
      <c r="G21" s="3">
        <f t="shared" si="0"/>
        <v>1038</v>
      </c>
      <c r="H21" s="3" t="s">
        <v>66</v>
      </c>
      <c r="I21" s="3">
        <v>1</v>
      </c>
      <c r="J21" s="3">
        <v>57</v>
      </c>
      <c r="K21" s="3">
        <f t="shared" si="1"/>
        <v>57</v>
      </c>
      <c r="L21" s="11">
        <f t="shared" si="2"/>
        <v>1095</v>
      </c>
    </row>
    <row r="22" ht="18" customHeight="1" spans="1:12">
      <c r="A22" s="3">
        <v>20</v>
      </c>
      <c r="B22" s="3" t="s">
        <v>237</v>
      </c>
      <c r="C22" s="5">
        <v>314</v>
      </c>
      <c r="D22" s="5">
        <v>310</v>
      </c>
      <c r="E22" s="5">
        <v>310</v>
      </c>
      <c r="F22" s="5">
        <v>3</v>
      </c>
      <c r="G22" s="3">
        <f t="shared" si="0"/>
        <v>930</v>
      </c>
      <c r="H22" s="3" t="s">
        <v>68</v>
      </c>
      <c r="I22" s="3">
        <v>1</v>
      </c>
      <c r="J22" s="3">
        <v>60</v>
      </c>
      <c r="K22" s="3">
        <f t="shared" si="1"/>
        <v>60</v>
      </c>
      <c r="L22" s="11">
        <f t="shared" si="2"/>
        <v>990</v>
      </c>
    </row>
    <row r="23" ht="18" customHeight="1" spans="1:12">
      <c r="A23" s="3">
        <v>21</v>
      </c>
      <c r="B23" s="3" t="s">
        <v>238</v>
      </c>
      <c r="C23" s="5">
        <v>659</v>
      </c>
      <c r="D23" s="5">
        <v>663</v>
      </c>
      <c r="E23" s="5">
        <v>663</v>
      </c>
      <c r="F23" s="5">
        <v>3</v>
      </c>
      <c r="G23" s="3">
        <f t="shared" si="0"/>
        <v>1989</v>
      </c>
      <c r="H23" s="3" t="s">
        <v>70</v>
      </c>
      <c r="I23" s="3">
        <v>0</v>
      </c>
      <c r="J23" s="3">
        <v>63</v>
      </c>
      <c r="K23" s="3">
        <f t="shared" si="1"/>
        <v>0</v>
      </c>
      <c r="L23" s="11">
        <f t="shared" si="2"/>
        <v>1989</v>
      </c>
    </row>
    <row r="24" ht="18" customHeight="1" spans="1:12">
      <c r="A24" s="3">
        <v>22</v>
      </c>
      <c r="B24" s="3" t="s">
        <v>239</v>
      </c>
      <c r="C24" s="5">
        <v>662</v>
      </c>
      <c r="D24" s="5">
        <v>639</v>
      </c>
      <c r="E24" s="5">
        <v>639</v>
      </c>
      <c r="F24" s="5">
        <v>3</v>
      </c>
      <c r="G24" s="3">
        <f t="shared" si="0"/>
        <v>1917</v>
      </c>
      <c r="H24" s="3" t="s">
        <v>72</v>
      </c>
      <c r="I24" s="3">
        <v>0</v>
      </c>
      <c r="J24" s="3">
        <v>66</v>
      </c>
      <c r="K24" s="3">
        <f t="shared" si="1"/>
        <v>0</v>
      </c>
      <c r="L24" s="11">
        <f t="shared" si="2"/>
        <v>1917</v>
      </c>
    </row>
    <row r="25" ht="18" customHeight="1" spans="1:12">
      <c r="A25" s="3">
        <v>23</v>
      </c>
      <c r="B25" s="3" t="s">
        <v>240</v>
      </c>
      <c r="C25" s="5">
        <v>648</v>
      </c>
      <c r="D25" s="5">
        <v>660</v>
      </c>
      <c r="E25" s="5">
        <v>660</v>
      </c>
      <c r="F25" s="5">
        <v>3</v>
      </c>
      <c r="G25" s="3">
        <f t="shared" si="0"/>
        <v>1980</v>
      </c>
      <c r="H25" s="3" t="s">
        <v>74</v>
      </c>
      <c r="I25" s="3">
        <v>2</v>
      </c>
      <c r="J25" s="3">
        <v>69</v>
      </c>
      <c r="K25" s="3">
        <f t="shared" si="1"/>
        <v>138</v>
      </c>
      <c r="L25" s="11">
        <f t="shared" si="2"/>
        <v>2118</v>
      </c>
    </row>
    <row r="26" ht="18" customHeight="1" spans="1:12">
      <c r="A26" s="3">
        <v>24</v>
      </c>
      <c r="B26" s="3" t="s">
        <v>241</v>
      </c>
      <c r="C26" s="5">
        <v>647</v>
      </c>
      <c r="D26" s="5">
        <v>668</v>
      </c>
      <c r="E26" s="5">
        <v>668</v>
      </c>
      <c r="F26" s="5">
        <v>3</v>
      </c>
      <c r="G26" s="3">
        <f t="shared" si="0"/>
        <v>2004</v>
      </c>
      <c r="H26" s="3" t="s">
        <v>76</v>
      </c>
      <c r="I26" s="3">
        <v>1</v>
      </c>
      <c r="J26" s="3">
        <v>72</v>
      </c>
      <c r="K26" s="3">
        <f t="shared" si="1"/>
        <v>72</v>
      </c>
      <c r="L26" s="11">
        <f t="shared" si="2"/>
        <v>2076</v>
      </c>
    </row>
    <row r="27" ht="18" customHeight="1" spans="1:12">
      <c r="A27" s="3">
        <v>25</v>
      </c>
      <c r="B27" s="3" t="s">
        <v>242</v>
      </c>
      <c r="C27" s="5">
        <v>636</v>
      </c>
      <c r="D27" s="5">
        <v>673</v>
      </c>
      <c r="E27" s="5">
        <v>673</v>
      </c>
      <c r="F27" s="5">
        <v>3</v>
      </c>
      <c r="G27" s="3">
        <f t="shared" si="0"/>
        <v>2019</v>
      </c>
      <c r="H27" s="3" t="s">
        <v>78</v>
      </c>
      <c r="I27" s="3">
        <v>1</v>
      </c>
      <c r="J27" s="3">
        <v>75</v>
      </c>
      <c r="K27" s="3">
        <f t="shared" si="1"/>
        <v>75</v>
      </c>
      <c r="L27" s="11">
        <f t="shared" si="2"/>
        <v>2094</v>
      </c>
    </row>
    <row r="28" ht="18" customHeight="1" spans="1:12">
      <c r="A28" s="3">
        <v>26</v>
      </c>
      <c r="B28" s="3" t="s">
        <v>243</v>
      </c>
      <c r="C28" s="5">
        <v>358</v>
      </c>
      <c r="D28" s="5">
        <v>382</v>
      </c>
      <c r="E28" s="5">
        <v>382</v>
      </c>
      <c r="F28" s="5">
        <v>3</v>
      </c>
      <c r="G28" s="3">
        <f t="shared" si="0"/>
        <v>1146</v>
      </c>
      <c r="H28" s="3" t="s">
        <v>80</v>
      </c>
      <c r="I28" s="3">
        <v>0</v>
      </c>
      <c r="J28" s="3">
        <v>78</v>
      </c>
      <c r="K28" s="3">
        <f t="shared" si="1"/>
        <v>0</v>
      </c>
      <c r="L28" s="11">
        <f t="shared" si="2"/>
        <v>1146</v>
      </c>
    </row>
    <row r="29" ht="18" customHeight="1" spans="1:12">
      <c r="A29" s="3">
        <v>27</v>
      </c>
      <c r="B29" s="3" t="s">
        <v>244</v>
      </c>
      <c r="C29" s="5">
        <v>368</v>
      </c>
      <c r="D29" s="5">
        <v>365</v>
      </c>
      <c r="E29" s="5">
        <v>365</v>
      </c>
      <c r="F29" s="5">
        <v>3</v>
      </c>
      <c r="G29" s="3">
        <f t="shared" si="0"/>
        <v>1095</v>
      </c>
      <c r="H29" s="3" t="s">
        <v>82</v>
      </c>
      <c r="I29" s="3">
        <v>0</v>
      </c>
      <c r="J29" s="3">
        <v>81</v>
      </c>
      <c r="K29" s="3">
        <f t="shared" si="1"/>
        <v>0</v>
      </c>
      <c r="L29" s="11">
        <f t="shared" si="2"/>
        <v>1095</v>
      </c>
    </row>
    <row r="30" ht="18" customHeight="1" spans="1:12">
      <c r="A30" s="3">
        <v>28</v>
      </c>
      <c r="B30" s="3" t="s">
        <v>245</v>
      </c>
      <c r="C30" s="5">
        <v>691</v>
      </c>
      <c r="D30" s="5">
        <v>676</v>
      </c>
      <c r="E30" s="5">
        <v>676</v>
      </c>
      <c r="F30" s="5">
        <v>3</v>
      </c>
      <c r="G30" s="3">
        <f t="shared" si="0"/>
        <v>2028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11">
        <f t="shared" si="2"/>
        <v>2028</v>
      </c>
    </row>
    <row r="31" ht="18" customHeight="1" spans="1:12">
      <c r="A31" s="3">
        <v>29</v>
      </c>
      <c r="B31" s="3" t="s">
        <v>246</v>
      </c>
      <c r="C31" s="5">
        <v>662</v>
      </c>
      <c r="D31" s="5">
        <v>659</v>
      </c>
      <c r="E31" s="5">
        <v>659</v>
      </c>
      <c r="F31" s="5">
        <v>3</v>
      </c>
      <c r="G31" s="3">
        <f t="shared" si="0"/>
        <v>1977</v>
      </c>
      <c r="H31" s="3" t="s">
        <v>86</v>
      </c>
      <c r="I31" s="3">
        <v>0</v>
      </c>
      <c r="J31" s="3">
        <v>87</v>
      </c>
      <c r="K31" s="3">
        <f t="shared" si="1"/>
        <v>0</v>
      </c>
      <c r="L31" s="11">
        <f t="shared" si="2"/>
        <v>1977</v>
      </c>
    </row>
    <row r="32" ht="18" customHeight="1" spans="1:12">
      <c r="A32" s="3">
        <v>30</v>
      </c>
      <c r="B32" s="3" t="s">
        <v>247</v>
      </c>
      <c r="C32" s="5">
        <v>655</v>
      </c>
      <c r="D32" s="5">
        <v>673</v>
      </c>
      <c r="E32" s="5">
        <v>673</v>
      </c>
      <c r="F32" s="5">
        <v>3</v>
      </c>
      <c r="G32" s="3">
        <f t="shared" si="0"/>
        <v>2019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11">
        <f t="shared" si="2"/>
        <v>2019</v>
      </c>
    </row>
    <row r="33" ht="18" customHeight="1" spans="1:12">
      <c r="A33" s="5">
        <v>31</v>
      </c>
      <c r="B33" s="3" t="s">
        <v>248</v>
      </c>
      <c r="C33" s="5">
        <v>659</v>
      </c>
      <c r="D33" s="5">
        <v>665</v>
      </c>
      <c r="E33" s="5">
        <v>665</v>
      </c>
      <c r="F33" s="5">
        <v>3</v>
      </c>
      <c r="G33" s="3">
        <f t="shared" si="0"/>
        <v>1995</v>
      </c>
      <c r="H33" s="3" t="s">
        <v>90</v>
      </c>
      <c r="I33" s="3">
        <v>0</v>
      </c>
      <c r="J33" s="3">
        <v>93</v>
      </c>
      <c r="K33" s="3">
        <f t="shared" si="1"/>
        <v>0</v>
      </c>
      <c r="L33" s="11">
        <f t="shared" si="2"/>
        <v>1995</v>
      </c>
    </row>
    <row r="34" ht="18" customHeight="1" spans="1:12">
      <c r="A34" s="5" t="s">
        <v>23</v>
      </c>
      <c r="B34" s="6"/>
      <c r="C34" s="5">
        <v>17537</v>
      </c>
      <c r="D34" s="5">
        <v>17780</v>
      </c>
      <c r="E34" s="5">
        <v>17780</v>
      </c>
      <c r="F34" s="5">
        <v>3</v>
      </c>
      <c r="G34" s="3">
        <f t="shared" si="0"/>
        <v>53340</v>
      </c>
      <c r="H34" s="7"/>
      <c r="I34" s="12"/>
      <c r="J34" s="13"/>
      <c r="K34" s="3">
        <v>13062</v>
      </c>
      <c r="L34" s="11">
        <f t="shared" si="2"/>
        <v>66402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3" workbookViewId="0">
      <selection activeCell="I3" sqref="I3:I32"/>
    </sheetView>
  </sheetViews>
  <sheetFormatPr defaultColWidth="11.75" defaultRowHeight="22" customHeight="1"/>
  <cols>
    <col min="1" max="1" width="14.5" customWidth="1"/>
    <col min="2" max="2" width="17.875" customWidth="1"/>
    <col min="3" max="4" width="17.125" customWidth="1"/>
    <col min="5" max="5" width="17.375" customWidth="1"/>
    <col min="6" max="7" width="19.75" customWidth="1"/>
    <col min="8" max="8" width="9.375" customWidth="1"/>
    <col min="9" max="9" width="8.375" customWidth="1"/>
    <col min="10" max="10" width="10.25" customWidth="1"/>
    <col min="11" max="11" width="23.375" customWidth="1"/>
    <col min="12" max="12" width="16.25" customWidth="1"/>
    <col min="13" max="16384" width="11.75" customWidth="1"/>
  </cols>
  <sheetData>
    <row r="1" ht="33" customHeight="1" spans="1:12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9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1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250</v>
      </c>
      <c r="C3" s="3">
        <v>632</v>
      </c>
      <c r="D3" s="3">
        <v>662</v>
      </c>
      <c r="E3" s="3">
        <v>632</v>
      </c>
      <c r="F3" s="3">
        <v>3</v>
      </c>
      <c r="G3" s="3">
        <f t="shared" ref="G3:G33" si="0">E3*F3</f>
        <v>1896</v>
      </c>
      <c r="H3" s="3" t="s">
        <v>30</v>
      </c>
      <c r="I3" s="3">
        <v>1349</v>
      </c>
      <c r="J3" s="3">
        <v>3</v>
      </c>
      <c r="K3" s="3">
        <f t="shared" ref="K3:K32" si="1">I3*J3</f>
        <v>4047</v>
      </c>
      <c r="L3" s="11">
        <f t="shared" ref="L3:L33" si="2">G3+K3</f>
        <v>5943</v>
      </c>
    </row>
    <row r="4" ht="18" customHeight="1" spans="1:12">
      <c r="A4" s="3">
        <v>2</v>
      </c>
      <c r="B4" s="3" t="s">
        <v>251</v>
      </c>
      <c r="C4" s="3">
        <v>316</v>
      </c>
      <c r="D4" s="3">
        <v>324</v>
      </c>
      <c r="E4" s="3">
        <v>316</v>
      </c>
      <c r="F4" s="5">
        <v>3</v>
      </c>
      <c r="G4" s="3">
        <f t="shared" si="0"/>
        <v>948</v>
      </c>
      <c r="H4" s="3" t="s">
        <v>32</v>
      </c>
      <c r="I4" s="3">
        <v>300</v>
      </c>
      <c r="J4" s="3">
        <v>6</v>
      </c>
      <c r="K4" s="3">
        <f t="shared" si="1"/>
        <v>1800</v>
      </c>
      <c r="L4" s="11">
        <f t="shared" si="2"/>
        <v>2748</v>
      </c>
    </row>
    <row r="5" ht="18" customHeight="1" spans="1:12">
      <c r="A5" s="3">
        <v>3</v>
      </c>
      <c r="B5" s="3" t="s">
        <v>252</v>
      </c>
      <c r="C5" s="3">
        <v>304</v>
      </c>
      <c r="D5" s="3">
        <v>310</v>
      </c>
      <c r="E5" s="3">
        <v>304</v>
      </c>
      <c r="F5" s="5">
        <v>3</v>
      </c>
      <c r="G5" s="3">
        <f t="shared" si="0"/>
        <v>912</v>
      </c>
      <c r="H5" s="3" t="s">
        <v>34</v>
      </c>
      <c r="I5" s="3">
        <v>140</v>
      </c>
      <c r="J5" s="3">
        <v>9</v>
      </c>
      <c r="K5" s="3">
        <f t="shared" si="1"/>
        <v>1260</v>
      </c>
      <c r="L5" s="11">
        <f t="shared" si="2"/>
        <v>2172</v>
      </c>
    </row>
    <row r="6" ht="18" customHeight="1" spans="1:12">
      <c r="A6" s="3">
        <v>4</v>
      </c>
      <c r="B6" s="3" t="s">
        <v>253</v>
      </c>
      <c r="C6" s="3">
        <v>670</v>
      </c>
      <c r="D6" s="3">
        <v>659</v>
      </c>
      <c r="E6" s="3">
        <v>670</v>
      </c>
      <c r="F6" s="5">
        <v>3</v>
      </c>
      <c r="G6" s="3">
        <f t="shared" si="0"/>
        <v>2010</v>
      </c>
      <c r="H6" s="3" t="s">
        <v>36</v>
      </c>
      <c r="I6" s="3">
        <v>72</v>
      </c>
      <c r="J6" s="3">
        <v>12</v>
      </c>
      <c r="K6" s="3">
        <f t="shared" si="1"/>
        <v>864</v>
      </c>
      <c r="L6" s="11">
        <f t="shared" si="2"/>
        <v>2874</v>
      </c>
    </row>
    <row r="7" ht="18" customHeight="1" spans="1:12">
      <c r="A7" s="3">
        <v>5</v>
      </c>
      <c r="B7" s="3" t="s">
        <v>254</v>
      </c>
      <c r="C7" s="3">
        <v>634</v>
      </c>
      <c r="D7" s="3">
        <v>621</v>
      </c>
      <c r="E7" s="3">
        <v>634</v>
      </c>
      <c r="F7" s="5">
        <v>3</v>
      </c>
      <c r="G7" s="3">
        <f t="shared" si="0"/>
        <v>1902</v>
      </c>
      <c r="H7" s="3" t="s">
        <v>38</v>
      </c>
      <c r="I7" s="3">
        <v>37</v>
      </c>
      <c r="J7" s="3">
        <v>15</v>
      </c>
      <c r="K7" s="3">
        <f t="shared" si="1"/>
        <v>555</v>
      </c>
      <c r="L7" s="11">
        <f t="shared" si="2"/>
        <v>2457</v>
      </c>
    </row>
    <row r="8" ht="18" customHeight="1" spans="1:12">
      <c r="A8" s="3">
        <v>6</v>
      </c>
      <c r="B8" s="3" t="s">
        <v>255</v>
      </c>
      <c r="C8" s="5">
        <v>645</v>
      </c>
      <c r="D8" s="5">
        <v>653</v>
      </c>
      <c r="E8" s="5">
        <v>645</v>
      </c>
      <c r="F8" s="5">
        <v>3</v>
      </c>
      <c r="G8" s="3">
        <f t="shared" si="0"/>
        <v>1935</v>
      </c>
      <c r="H8" s="3" t="s">
        <v>40</v>
      </c>
      <c r="I8" s="3">
        <v>33</v>
      </c>
      <c r="J8" s="3">
        <v>18</v>
      </c>
      <c r="K8" s="3">
        <f t="shared" si="1"/>
        <v>594</v>
      </c>
      <c r="L8" s="11">
        <f t="shared" si="2"/>
        <v>2529</v>
      </c>
    </row>
    <row r="9" ht="18" customHeight="1" spans="1:12">
      <c r="A9" s="3">
        <v>7</v>
      </c>
      <c r="B9" s="3" t="s">
        <v>256</v>
      </c>
      <c r="C9" s="5">
        <v>648</v>
      </c>
      <c r="D9" s="5">
        <v>654</v>
      </c>
      <c r="E9" s="5">
        <v>648</v>
      </c>
      <c r="F9" s="5">
        <v>3</v>
      </c>
      <c r="G9" s="3">
        <f t="shared" si="0"/>
        <v>1944</v>
      </c>
      <c r="H9" s="3" t="s">
        <v>42</v>
      </c>
      <c r="I9" s="3">
        <v>8</v>
      </c>
      <c r="J9" s="3">
        <v>21</v>
      </c>
      <c r="K9" s="3">
        <f t="shared" si="1"/>
        <v>168</v>
      </c>
      <c r="L9" s="11">
        <f t="shared" si="2"/>
        <v>2112</v>
      </c>
    </row>
    <row r="10" ht="18" customHeight="1" spans="1:12">
      <c r="A10" s="3">
        <v>8</v>
      </c>
      <c r="B10" s="3" t="s">
        <v>257</v>
      </c>
      <c r="C10" s="5">
        <v>649</v>
      </c>
      <c r="D10" s="5">
        <v>655</v>
      </c>
      <c r="E10" s="5">
        <v>649</v>
      </c>
      <c r="F10" s="5">
        <v>3</v>
      </c>
      <c r="G10" s="3">
        <f t="shared" si="0"/>
        <v>1947</v>
      </c>
      <c r="H10" s="3" t="s">
        <v>44</v>
      </c>
      <c r="I10" s="3">
        <v>9</v>
      </c>
      <c r="J10" s="3">
        <v>24</v>
      </c>
      <c r="K10" s="3">
        <f t="shared" si="1"/>
        <v>216</v>
      </c>
      <c r="L10" s="11">
        <f t="shared" si="2"/>
        <v>2163</v>
      </c>
    </row>
    <row r="11" ht="18" customHeight="1" spans="1:12">
      <c r="A11" s="3">
        <v>9</v>
      </c>
      <c r="B11" s="3" t="s">
        <v>258</v>
      </c>
      <c r="C11" s="5">
        <v>335</v>
      </c>
      <c r="D11" s="5">
        <v>363</v>
      </c>
      <c r="E11" s="5">
        <v>335</v>
      </c>
      <c r="F11" s="5">
        <v>3</v>
      </c>
      <c r="G11" s="3">
        <f t="shared" si="0"/>
        <v>1005</v>
      </c>
      <c r="H11" s="3" t="s">
        <v>46</v>
      </c>
      <c r="I11" s="3">
        <v>5</v>
      </c>
      <c r="J11" s="3">
        <v>27</v>
      </c>
      <c r="K11" s="3">
        <f t="shared" si="1"/>
        <v>135</v>
      </c>
      <c r="L11" s="11">
        <f t="shared" si="2"/>
        <v>1140</v>
      </c>
    </row>
    <row r="12" ht="18" customHeight="1" spans="1:12">
      <c r="A12" s="3">
        <v>10</v>
      </c>
      <c r="B12" s="3" t="s">
        <v>259</v>
      </c>
      <c r="C12" s="5">
        <v>290</v>
      </c>
      <c r="D12" s="5">
        <v>311</v>
      </c>
      <c r="E12" s="5">
        <v>290</v>
      </c>
      <c r="F12" s="5">
        <v>3</v>
      </c>
      <c r="G12" s="3">
        <f t="shared" si="0"/>
        <v>870</v>
      </c>
      <c r="H12" s="3" t="s">
        <v>48</v>
      </c>
      <c r="I12" s="3">
        <v>8</v>
      </c>
      <c r="J12" s="3">
        <v>30</v>
      </c>
      <c r="K12" s="3">
        <f t="shared" si="1"/>
        <v>240</v>
      </c>
      <c r="L12" s="11">
        <f t="shared" si="2"/>
        <v>1110</v>
      </c>
    </row>
    <row r="13" ht="18" customHeight="1" spans="1:12">
      <c r="A13" s="3">
        <v>11</v>
      </c>
      <c r="B13" s="3" t="s">
        <v>260</v>
      </c>
      <c r="C13" s="5">
        <v>684</v>
      </c>
      <c r="D13" s="5">
        <v>664</v>
      </c>
      <c r="E13" s="5">
        <v>684</v>
      </c>
      <c r="F13" s="5">
        <v>3</v>
      </c>
      <c r="G13" s="3">
        <f t="shared" si="0"/>
        <v>2052</v>
      </c>
      <c r="H13" s="3" t="s">
        <v>50</v>
      </c>
      <c r="I13" s="3">
        <v>2</v>
      </c>
      <c r="J13" s="3">
        <v>33</v>
      </c>
      <c r="K13" s="3">
        <f t="shared" si="1"/>
        <v>66</v>
      </c>
      <c r="L13" s="11">
        <f t="shared" si="2"/>
        <v>2118</v>
      </c>
    </row>
    <row r="14" ht="18" customHeight="1" spans="1:12">
      <c r="A14" s="3">
        <v>12</v>
      </c>
      <c r="B14" s="3" t="s">
        <v>261</v>
      </c>
      <c r="C14" s="5">
        <v>653</v>
      </c>
      <c r="D14" s="5">
        <v>643</v>
      </c>
      <c r="E14" s="5">
        <v>653</v>
      </c>
      <c r="F14" s="5">
        <v>3</v>
      </c>
      <c r="G14" s="3">
        <f t="shared" si="0"/>
        <v>1959</v>
      </c>
      <c r="H14" s="3" t="s">
        <v>52</v>
      </c>
      <c r="I14" s="3">
        <v>8</v>
      </c>
      <c r="J14" s="3">
        <v>36</v>
      </c>
      <c r="K14" s="3">
        <f t="shared" si="1"/>
        <v>288</v>
      </c>
      <c r="L14" s="11">
        <f t="shared" si="2"/>
        <v>2247</v>
      </c>
    </row>
    <row r="15" ht="18" customHeight="1" spans="1:12">
      <c r="A15" s="3">
        <v>13</v>
      </c>
      <c r="B15" s="3" t="s">
        <v>262</v>
      </c>
      <c r="C15" s="5">
        <v>659</v>
      </c>
      <c r="D15" s="5">
        <v>689</v>
      </c>
      <c r="E15" s="5">
        <v>659</v>
      </c>
      <c r="F15" s="5">
        <v>3</v>
      </c>
      <c r="G15" s="3">
        <f t="shared" si="0"/>
        <v>1977</v>
      </c>
      <c r="H15" s="3" t="s">
        <v>54</v>
      </c>
      <c r="I15" s="3">
        <v>0</v>
      </c>
      <c r="J15" s="3">
        <v>39</v>
      </c>
      <c r="K15" s="3">
        <f t="shared" si="1"/>
        <v>0</v>
      </c>
      <c r="L15" s="11">
        <f t="shared" si="2"/>
        <v>1977</v>
      </c>
    </row>
    <row r="16" ht="18" customHeight="1" spans="1:12">
      <c r="A16" s="3">
        <v>14</v>
      </c>
      <c r="B16" s="3" t="s">
        <v>263</v>
      </c>
      <c r="C16" s="5">
        <v>658</v>
      </c>
      <c r="D16" s="5">
        <v>640</v>
      </c>
      <c r="E16" s="5">
        <v>658</v>
      </c>
      <c r="F16" s="5">
        <v>3</v>
      </c>
      <c r="G16" s="3">
        <f t="shared" si="0"/>
        <v>1974</v>
      </c>
      <c r="H16" s="3" t="s">
        <v>56</v>
      </c>
      <c r="I16" s="3">
        <v>0</v>
      </c>
      <c r="J16" s="3">
        <v>42</v>
      </c>
      <c r="K16" s="3">
        <f t="shared" si="1"/>
        <v>0</v>
      </c>
      <c r="L16" s="11">
        <f t="shared" si="2"/>
        <v>1974</v>
      </c>
    </row>
    <row r="17" ht="18" customHeight="1" spans="1:12">
      <c r="A17" s="3">
        <v>15</v>
      </c>
      <c r="B17" s="3" t="s">
        <v>264</v>
      </c>
      <c r="C17" s="5">
        <v>615</v>
      </c>
      <c r="D17" s="5">
        <v>653</v>
      </c>
      <c r="E17" s="5">
        <v>615</v>
      </c>
      <c r="F17" s="5">
        <v>3</v>
      </c>
      <c r="G17" s="3">
        <f t="shared" si="0"/>
        <v>1845</v>
      </c>
      <c r="H17" s="3" t="s">
        <v>58</v>
      </c>
      <c r="I17" s="3">
        <v>2</v>
      </c>
      <c r="J17" s="3">
        <v>45</v>
      </c>
      <c r="K17" s="3">
        <f t="shared" si="1"/>
        <v>90</v>
      </c>
      <c r="L17" s="11">
        <f t="shared" si="2"/>
        <v>1935</v>
      </c>
    </row>
    <row r="18" ht="18" customHeight="1" spans="1:12">
      <c r="A18" s="3">
        <v>16</v>
      </c>
      <c r="B18" s="3" t="s">
        <v>265</v>
      </c>
      <c r="C18" s="5">
        <v>351</v>
      </c>
      <c r="D18" s="5">
        <v>373</v>
      </c>
      <c r="E18" s="5">
        <v>351</v>
      </c>
      <c r="F18" s="5">
        <v>3</v>
      </c>
      <c r="G18" s="3">
        <f t="shared" si="0"/>
        <v>1053</v>
      </c>
      <c r="H18" s="3" t="s">
        <v>60</v>
      </c>
      <c r="I18" s="3">
        <v>2</v>
      </c>
      <c r="J18" s="3">
        <v>48</v>
      </c>
      <c r="K18" s="3">
        <f t="shared" si="1"/>
        <v>96</v>
      </c>
      <c r="L18" s="11">
        <f t="shared" si="2"/>
        <v>1149</v>
      </c>
    </row>
    <row r="19" ht="18" customHeight="1" spans="1:12">
      <c r="A19" s="3">
        <v>17</v>
      </c>
      <c r="B19" s="3" t="s">
        <v>266</v>
      </c>
      <c r="C19" s="5">
        <v>314</v>
      </c>
      <c r="D19" s="5">
        <v>308</v>
      </c>
      <c r="E19" s="5">
        <v>314</v>
      </c>
      <c r="F19" s="5">
        <v>3</v>
      </c>
      <c r="G19" s="3">
        <f t="shared" si="0"/>
        <v>942</v>
      </c>
      <c r="H19" s="3" t="s">
        <v>62</v>
      </c>
      <c r="I19" s="3">
        <v>0</v>
      </c>
      <c r="J19" s="3">
        <v>51</v>
      </c>
      <c r="K19" s="3">
        <f t="shared" si="1"/>
        <v>0</v>
      </c>
      <c r="L19" s="11">
        <f t="shared" si="2"/>
        <v>942</v>
      </c>
    </row>
    <row r="20" ht="18" customHeight="1" spans="1:12">
      <c r="A20" s="3">
        <v>18</v>
      </c>
      <c r="B20" s="3" t="s">
        <v>267</v>
      </c>
      <c r="C20" s="5">
        <v>669</v>
      </c>
      <c r="D20" s="5">
        <v>662</v>
      </c>
      <c r="E20" s="5">
        <v>669</v>
      </c>
      <c r="F20" s="5">
        <v>3</v>
      </c>
      <c r="G20" s="3">
        <f t="shared" si="0"/>
        <v>2007</v>
      </c>
      <c r="H20" s="3" t="s">
        <v>64</v>
      </c>
      <c r="I20" s="3">
        <v>0</v>
      </c>
      <c r="J20" s="3">
        <v>54</v>
      </c>
      <c r="K20" s="3">
        <f t="shared" si="1"/>
        <v>0</v>
      </c>
      <c r="L20" s="11">
        <f t="shared" si="2"/>
        <v>2007</v>
      </c>
    </row>
    <row r="21" ht="18" customHeight="1" spans="1:12">
      <c r="A21" s="3">
        <v>19</v>
      </c>
      <c r="B21" s="3" t="s">
        <v>268</v>
      </c>
      <c r="C21" s="5">
        <v>689</v>
      </c>
      <c r="D21" s="5">
        <v>691</v>
      </c>
      <c r="E21" s="5">
        <v>689</v>
      </c>
      <c r="F21" s="5">
        <v>3</v>
      </c>
      <c r="G21" s="3">
        <f t="shared" si="0"/>
        <v>2067</v>
      </c>
      <c r="H21" s="3" t="s">
        <v>66</v>
      </c>
      <c r="I21" s="3">
        <v>1</v>
      </c>
      <c r="J21" s="3">
        <v>57</v>
      </c>
      <c r="K21" s="3">
        <f t="shared" si="1"/>
        <v>57</v>
      </c>
      <c r="L21" s="11">
        <f t="shared" si="2"/>
        <v>2124</v>
      </c>
    </row>
    <row r="22" ht="18" customHeight="1" spans="1:12">
      <c r="A22" s="3">
        <v>20</v>
      </c>
      <c r="B22" s="3" t="s">
        <v>269</v>
      </c>
      <c r="C22" s="5">
        <v>677</v>
      </c>
      <c r="D22" s="5">
        <v>690</v>
      </c>
      <c r="E22" s="5">
        <v>677</v>
      </c>
      <c r="F22" s="5">
        <v>3</v>
      </c>
      <c r="G22" s="3">
        <f t="shared" si="0"/>
        <v>2031</v>
      </c>
      <c r="H22" s="3" t="s">
        <v>68</v>
      </c>
      <c r="I22" s="3">
        <v>1</v>
      </c>
      <c r="J22" s="3">
        <v>60</v>
      </c>
      <c r="K22" s="3">
        <f t="shared" si="1"/>
        <v>60</v>
      </c>
      <c r="L22" s="11">
        <f t="shared" si="2"/>
        <v>2091</v>
      </c>
    </row>
    <row r="23" ht="18" customHeight="1" spans="1:12">
      <c r="A23" s="3">
        <v>21</v>
      </c>
      <c r="B23" s="3" t="s">
        <v>270</v>
      </c>
      <c r="C23" s="5">
        <v>667</v>
      </c>
      <c r="D23" s="5">
        <v>649</v>
      </c>
      <c r="E23" s="5">
        <v>667</v>
      </c>
      <c r="F23" s="5">
        <v>3</v>
      </c>
      <c r="G23" s="3">
        <f t="shared" si="0"/>
        <v>2001</v>
      </c>
      <c r="H23" s="3" t="s">
        <v>70</v>
      </c>
      <c r="I23" s="3">
        <v>3</v>
      </c>
      <c r="J23" s="3">
        <v>63</v>
      </c>
      <c r="K23" s="3">
        <f t="shared" si="1"/>
        <v>189</v>
      </c>
      <c r="L23" s="11">
        <f t="shared" si="2"/>
        <v>2190</v>
      </c>
    </row>
    <row r="24" ht="18" customHeight="1" spans="1:12">
      <c r="A24" s="3">
        <v>22</v>
      </c>
      <c r="B24" s="3" t="s">
        <v>271</v>
      </c>
      <c r="C24" s="5">
        <v>624</v>
      </c>
      <c r="D24" s="5">
        <v>661</v>
      </c>
      <c r="E24" s="5">
        <v>624</v>
      </c>
      <c r="F24" s="5">
        <v>3</v>
      </c>
      <c r="G24" s="3">
        <f t="shared" si="0"/>
        <v>1872</v>
      </c>
      <c r="H24" s="3" t="s">
        <v>72</v>
      </c>
      <c r="I24" s="3">
        <v>0</v>
      </c>
      <c r="J24" s="3">
        <v>66</v>
      </c>
      <c r="K24" s="3">
        <f t="shared" si="1"/>
        <v>0</v>
      </c>
      <c r="L24" s="11">
        <f t="shared" si="2"/>
        <v>1872</v>
      </c>
    </row>
    <row r="25" ht="18" customHeight="1" spans="1:12">
      <c r="A25" s="3">
        <v>23</v>
      </c>
      <c r="B25" s="3" t="s">
        <v>272</v>
      </c>
      <c r="C25" s="5">
        <v>328</v>
      </c>
      <c r="D25" s="5">
        <v>349</v>
      </c>
      <c r="E25" s="5">
        <v>328</v>
      </c>
      <c r="F25" s="5">
        <v>3</v>
      </c>
      <c r="G25" s="3">
        <f t="shared" si="0"/>
        <v>984</v>
      </c>
      <c r="H25" s="3" t="s">
        <v>74</v>
      </c>
      <c r="I25" s="3">
        <v>3</v>
      </c>
      <c r="J25" s="3">
        <v>69</v>
      </c>
      <c r="K25" s="3">
        <f t="shared" si="1"/>
        <v>207</v>
      </c>
      <c r="L25" s="11">
        <f t="shared" si="2"/>
        <v>1191</v>
      </c>
    </row>
    <row r="26" ht="18" customHeight="1" spans="1:12">
      <c r="A26" s="3">
        <v>24</v>
      </c>
      <c r="B26" s="3" t="s">
        <v>273</v>
      </c>
      <c r="C26" s="5">
        <v>367</v>
      </c>
      <c r="D26" s="5">
        <v>369</v>
      </c>
      <c r="E26" s="5">
        <v>367</v>
      </c>
      <c r="F26" s="5">
        <v>3</v>
      </c>
      <c r="G26" s="3">
        <f t="shared" si="0"/>
        <v>1101</v>
      </c>
      <c r="H26" s="3" t="s">
        <v>76</v>
      </c>
      <c r="I26" s="3">
        <v>2</v>
      </c>
      <c r="J26" s="3">
        <v>72</v>
      </c>
      <c r="K26" s="3">
        <f t="shared" si="1"/>
        <v>144</v>
      </c>
      <c r="L26" s="11">
        <f t="shared" si="2"/>
        <v>1245</v>
      </c>
    </row>
    <row r="27" ht="18" customHeight="1" spans="1:12">
      <c r="A27" s="3">
        <v>25</v>
      </c>
      <c r="B27" s="3" t="s">
        <v>274</v>
      </c>
      <c r="C27" s="5">
        <v>717</v>
      </c>
      <c r="D27" s="5">
        <v>709</v>
      </c>
      <c r="E27" s="5">
        <v>717</v>
      </c>
      <c r="F27" s="5">
        <v>3</v>
      </c>
      <c r="G27" s="3">
        <f t="shared" si="0"/>
        <v>2151</v>
      </c>
      <c r="H27" s="3" t="s">
        <v>78</v>
      </c>
      <c r="I27" s="3">
        <v>0</v>
      </c>
      <c r="J27" s="3">
        <v>75</v>
      </c>
      <c r="K27" s="3">
        <f t="shared" si="1"/>
        <v>0</v>
      </c>
      <c r="L27" s="11">
        <f t="shared" si="2"/>
        <v>2151</v>
      </c>
    </row>
    <row r="28" ht="18" customHeight="1" spans="1:12">
      <c r="A28" s="3">
        <v>26</v>
      </c>
      <c r="B28" s="3" t="s">
        <v>275</v>
      </c>
      <c r="C28" s="5">
        <v>685</v>
      </c>
      <c r="D28" s="5">
        <v>682</v>
      </c>
      <c r="E28" s="5">
        <v>685</v>
      </c>
      <c r="F28" s="5">
        <v>3</v>
      </c>
      <c r="G28" s="3">
        <f t="shared" si="0"/>
        <v>2055</v>
      </c>
      <c r="H28" s="3" t="s">
        <v>80</v>
      </c>
      <c r="I28" s="3">
        <v>1</v>
      </c>
      <c r="J28" s="3">
        <v>78</v>
      </c>
      <c r="K28" s="3">
        <f t="shared" si="1"/>
        <v>78</v>
      </c>
      <c r="L28" s="11">
        <f t="shared" si="2"/>
        <v>2133</v>
      </c>
    </row>
    <row r="29" ht="18" customHeight="1" spans="1:12">
      <c r="A29" s="3">
        <v>27</v>
      </c>
      <c r="B29" s="3" t="s">
        <v>276</v>
      </c>
      <c r="C29" s="5">
        <v>670</v>
      </c>
      <c r="D29" s="5">
        <v>699</v>
      </c>
      <c r="E29" s="5">
        <v>670</v>
      </c>
      <c r="F29" s="5">
        <v>3</v>
      </c>
      <c r="G29" s="3">
        <f t="shared" si="0"/>
        <v>2010</v>
      </c>
      <c r="H29" s="3" t="s">
        <v>82</v>
      </c>
      <c r="I29" s="3">
        <v>0</v>
      </c>
      <c r="J29" s="3">
        <v>81</v>
      </c>
      <c r="K29" s="3">
        <f t="shared" si="1"/>
        <v>0</v>
      </c>
      <c r="L29" s="11">
        <f t="shared" si="2"/>
        <v>2010</v>
      </c>
    </row>
    <row r="30" ht="18" customHeight="1" spans="1:12">
      <c r="A30" s="3">
        <v>28</v>
      </c>
      <c r="B30" s="3" t="s">
        <v>277</v>
      </c>
      <c r="C30" s="5">
        <v>667</v>
      </c>
      <c r="D30" s="5">
        <v>686</v>
      </c>
      <c r="E30" s="5">
        <v>667</v>
      </c>
      <c r="F30" s="5">
        <v>3</v>
      </c>
      <c r="G30" s="3">
        <f t="shared" si="0"/>
        <v>2001</v>
      </c>
      <c r="H30" s="3" t="s">
        <v>84</v>
      </c>
      <c r="I30" s="3">
        <v>1</v>
      </c>
      <c r="J30" s="3">
        <v>84</v>
      </c>
      <c r="K30" s="3">
        <f t="shared" si="1"/>
        <v>84</v>
      </c>
      <c r="L30" s="11">
        <f t="shared" si="2"/>
        <v>2085</v>
      </c>
    </row>
    <row r="31" ht="18" customHeight="1" spans="1:12">
      <c r="A31" s="3">
        <v>29</v>
      </c>
      <c r="B31" s="3" t="s">
        <v>278</v>
      </c>
      <c r="C31" s="5">
        <v>277</v>
      </c>
      <c r="D31" s="5">
        <v>327</v>
      </c>
      <c r="E31" s="5">
        <v>277</v>
      </c>
      <c r="F31" s="5">
        <v>3</v>
      </c>
      <c r="G31" s="3">
        <f t="shared" si="0"/>
        <v>831</v>
      </c>
      <c r="H31" s="3" t="s">
        <v>86</v>
      </c>
      <c r="I31" s="3">
        <v>0</v>
      </c>
      <c r="J31" s="3">
        <v>87</v>
      </c>
      <c r="K31" s="3">
        <f t="shared" si="1"/>
        <v>0</v>
      </c>
      <c r="L31" s="11">
        <f t="shared" si="2"/>
        <v>831</v>
      </c>
    </row>
    <row r="32" ht="18" customHeight="1" spans="1:12">
      <c r="A32" s="3">
        <v>30</v>
      </c>
      <c r="B32" s="3" t="s">
        <v>279</v>
      </c>
      <c r="C32" s="5">
        <v>243</v>
      </c>
      <c r="D32" s="5">
        <v>246</v>
      </c>
      <c r="E32" s="5">
        <v>243</v>
      </c>
      <c r="F32" s="5">
        <v>3</v>
      </c>
      <c r="G32" s="3">
        <f t="shared" si="0"/>
        <v>729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11">
        <f t="shared" si="2"/>
        <v>729</v>
      </c>
    </row>
    <row r="33" ht="18" customHeight="1" spans="1:12">
      <c r="A33" s="5" t="s">
        <v>23</v>
      </c>
      <c r="B33" s="6"/>
      <c r="C33" s="5">
        <v>16337</v>
      </c>
      <c r="D33" s="5">
        <v>16602</v>
      </c>
      <c r="E33" s="5">
        <v>16602</v>
      </c>
      <c r="F33" s="5">
        <v>3</v>
      </c>
      <c r="G33" s="3">
        <f t="shared" si="0"/>
        <v>49806</v>
      </c>
      <c r="H33" s="7"/>
      <c r="I33" s="12"/>
      <c r="J33" s="13"/>
      <c r="K33" s="3">
        <v>11238</v>
      </c>
      <c r="L33" s="11">
        <f t="shared" si="2"/>
        <v>61044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H2" sqref="H2:J2"/>
    </sheetView>
  </sheetViews>
  <sheetFormatPr defaultColWidth="11.875" defaultRowHeight="22" customHeight="1"/>
  <cols>
    <col min="1" max="1" width="15" customWidth="1"/>
    <col min="2" max="2" width="17.75" customWidth="1"/>
    <col min="3" max="3" width="17.875" customWidth="1"/>
    <col min="4" max="4" width="17.125" customWidth="1"/>
    <col min="5" max="5" width="17.625" customWidth="1"/>
    <col min="6" max="6" width="21.25" customWidth="1"/>
    <col min="7" max="7" width="19.5" customWidth="1"/>
    <col min="8" max="8" width="8.875" customWidth="1"/>
    <col min="9" max="9" width="9" customWidth="1"/>
    <col min="10" max="10" width="9.75" customWidth="1"/>
    <col min="11" max="11" width="23" customWidth="1"/>
    <col min="12" max="12" width="16.375" customWidth="1"/>
    <col min="13" max="16384" width="11.875" customWidth="1"/>
  </cols>
  <sheetData>
    <row r="1" customHeight="1" spans="1:12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281</v>
      </c>
      <c r="C3" s="3">
        <v>262</v>
      </c>
      <c r="D3" s="3">
        <v>259</v>
      </c>
      <c r="E3" s="3">
        <v>259</v>
      </c>
      <c r="F3" s="3">
        <v>3</v>
      </c>
      <c r="G3" s="3">
        <f t="shared" ref="G3:G34" si="0">E3*F3</f>
        <v>777</v>
      </c>
      <c r="H3" s="3" t="s">
        <v>30</v>
      </c>
      <c r="I3" s="3">
        <v>1356</v>
      </c>
      <c r="J3" s="3">
        <v>3</v>
      </c>
      <c r="K3" s="3">
        <f t="shared" ref="K3:K33" si="1">I3*J3</f>
        <v>4068</v>
      </c>
      <c r="L3" s="11">
        <f t="shared" ref="L3:L34" si="2">G3+K3</f>
        <v>4845</v>
      </c>
    </row>
    <row r="4" ht="18" customHeight="1" spans="1:12">
      <c r="A4" s="3">
        <v>2</v>
      </c>
      <c r="B4" s="3" t="s">
        <v>282</v>
      </c>
      <c r="C4" s="3">
        <v>571</v>
      </c>
      <c r="D4" s="3">
        <v>571</v>
      </c>
      <c r="E4" s="3">
        <v>571</v>
      </c>
      <c r="F4" s="5">
        <v>3</v>
      </c>
      <c r="G4" s="3">
        <f t="shared" si="0"/>
        <v>1713</v>
      </c>
      <c r="H4" s="3" t="s">
        <v>32</v>
      </c>
      <c r="I4" s="3">
        <v>255</v>
      </c>
      <c r="J4" s="3">
        <v>6</v>
      </c>
      <c r="K4" s="3">
        <f t="shared" si="1"/>
        <v>1530</v>
      </c>
      <c r="L4" s="11">
        <f t="shared" si="2"/>
        <v>3243</v>
      </c>
    </row>
    <row r="5" ht="18" customHeight="1" spans="1:12">
      <c r="A5" s="3">
        <v>3</v>
      </c>
      <c r="B5" s="3" t="s">
        <v>283</v>
      </c>
      <c r="C5" s="3">
        <v>545</v>
      </c>
      <c r="D5" s="3">
        <v>528</v>
      </c>
      <c r="E5" s="3">
        <v>528</v>
      </c>
      <c r="F5" s="5">
        <v>3</v>
      </c>
      <c r="G5" s="3">
        <f t="shared" si="0"/>
        <v>1584</v>
      </c>
      <c r="H5" s="3" t="s">
        <v>34</v>
      </c>
      <c r="I5" s="3">
        <v>160</v>
      </c>
      <c r="J5" s="3">
        <v>9</v>
      </c>
      <c r="K5" s="3">
        <f t="shared" si="1"/>
        <v>1440</v>
      </c>
      <c r="L5" s="11">
        <f t="shared" si="2"/>
        <v>3024</v>
      </c>
    </row>
    <row r="6" ht="18" customHeight="1" spans="1:12">
      <c r="A6" s="3">
        <v>4</v>
      </c>
      <c r="B6" s="3" t="s">
        <v>284</v>
      </c>
      <c r="C6" s="3">
        <v>594</v>
      </c>
      <c r="D6" s="3">
        <v>617</v>
      </c>
      <c r="E6" s="3">
        <v>617</v>
      </c>
      <c r="F6" s="5">
        <v>3</v>
      </c>
      <c r="G6" s="3">
        <f t="shared" si="0"/>
        <v>1851</v>
      </c>
      <c r="H6" s="3" t="s">
        <v>36</v>
      </c>
      <c r="I6" s="3">
        <v>91</v>
      </c>
      <c r="J6" s="3">
        <v>12</v>
      </c>
      <c r="K6" s="3">
        <f t="shared" si="1"/>
        <v>1092</v>
      </c>
      <c r="L6" s="11">
        <f t="shared" si="2"/>
        <v>2943</v>
      </c>
    </row>
    <row r="7" ht="18" customHeight="1" spans="1:12">
      <c r="A7" s="3">
        <v>5</v>
      </c>
      <c r="B7" s="3" t="s">
        <v>285</v>
      </c>
      <c r="C7" s="3">
        <v>610</v>
      </c>
      <c r="D7" s="3">
        <v>606</v>
      </c>
      <c r="E7" s="3">
        <v>606</v>
      </c>
      <c r="F7" s="5">
        <v>3</v>
      </c>
      <c r="G7" s="3">
        <f t="shared" si="0"/>
        <v>1818</v>
      </c>
      <c r="H7" s="3" t="s">
        <v>38</v>
      </c>
      <c r="I7" s="3">
        <v>38</v>
      </c>
      <c r="J7" s="3">
        <v>15</v>
      </c>
      <c r="K7" s="3">
        <f t="shared" si="1"/>
        <v>570</v>
      </c>
      <c r="L7" s="11">
        <f t="shared" si="2"/>
        <v>2388</v>
      </c>
    </row>
    <row r="8" ht="18" customHeight="1" spans="1:12">
      <c r="A8" s="3">
        <v>6</v>
      </c>
      <c r="B8" s="3" t="s">
        <v>286</v>
      </c>
      <c r="C8" s="5">
        <v>616</v>
      </c>
      <c r="D8" s="5">
        <v>622</v>
      </c>
      <c r="E8" s="5">
        <v>622</v>
      </c>
      <c r="F8" s="5">
        <v>3</v>
      </c>
      <c r="G8" s="3">
        <f t="shared" si="0"/>
        <v>1866</v>
      </c>
      <c r="H8" s="3" t="s">
        <v>40</v>
      </c>
      <c r="I8" s="3">
        <v>37</v>
      </c>
      <c r="J8" s="3">
        <v>18</v>
      </c>
      <c r="K8" s="3">
        <f t="shared" si="1"/>
        <v>666</v>
      </c>
      <c r="L8" s="11">
        <f t="shared" si="2"/>
        <v>2532</v>
      </c>
    </row>
    <row r="9" ht="18" customHeight="1" spans="1:12">
      <c r="A9" s="3">
        <v>7</v>
      </c>
      <c r="B9" s="3" t="s">
        <v>287</v>
      </c>
      <c r="C9" s="5">
        <v>346</v>
      </c>
      <c r="D9" s="5">
        <v>360</v>
      </c>
      <c r="E9" s="5">
        <v>360</v>
      </c>
      <c r="F9" s="5">
        <v>3</v>
      </c>
      <c r="G9" s="3">
        <f t="shared" si="0"/>
        <v>1080</v>
      </c>
      <c r="H9" s="3" t="s">
        <v>42</v>
      </c>
      <c r="I9" s="3">
        <v>21</v>
      </c>
      <c r="J9" s="3">
        <v>21</v>
      </c>
      <c r="K9" s="3">
        <f t="shared" si="1"/>
        <v>441</v>
      </c>
      <c r="L9" s="11">
        <f t="shared" si="2"/>
        <v>1521</v>
      </c>
    </row>
    <row r="10" ht="18" customHeight="1" spans="1:12">
      <c r="A10" s="3">
        <v>8</v>
      </c>
      <c r="B10" s="3" t="s">
        <v>288</v>
      </c>
      <c r="C10" s="5">
        <v>339</v>
      </c>
      <c r="D10" s="5">
        <v>333</v>
      </c>
      <c r="E10" s="5">
        <v>333</v>
      </c>
      <c r="F10" s="5">
        <v>3</v>
      </c>
      <c r="G10" s="3">
        <f t="shared" si="0"/>
        <v>999</v>
      </c>
      <c r="H10" s="3" t="s">
        <v>44</v>
      </c>
      <c r="I10" s="3">
        <v>5</v>
      </c>
      <c r="J10" s="3">
        <v>24</v>
      </c>
      <c r="K10" s="3">
        <f t="shared" si="1"/>
        <v>120</v>
      </c>
      <c r="L10" s="11">
        <f t="shared" si="2"/>
        <v>1119</v>
      </c>
    </row>
    <row r="11" ht="18" customHeight="1" spans="1:12">
      <c r="A11" s="3">
        <v>9</v>
      </c>
      <c r="B11" s="3" t="s">
        <v>289</v>
      </c>
      <c r="C11" s="5">
        <v>673</v>
      </c>
      <c r="D11" s="5">
        <v>669</v>
      </c>
      <c r="E11" s="5">
        <v>669</v>
      </c>
      <c r="F11" s="5">
        <v>3</v>
      </c>
      <c r="G11" s="3">
        <f t="shared" si="0"/>
        <v>2007</v>
      </c>
      <c r="H11" s="3" t="s">
        <v>46</v>
      </c>
      <c r="I11" s="3">
        <v>6</v>
      </c>
      <c r="J11" s="3">
        <v>27</v>
      </c>
      <c r="K11" s="3">
        <f t="shared" si="1"/>
        <v>162</v>
      </c>
      <c r="L11" s="11">
        <f t="shared" si="2"/>
        <v>2169</v>
      </c>
    </row>
    <row r="12" ht="18" customHeight="1" spans="1:12">
      <c r="A12" s="3">
        <v>10</v>
      </c>
      <c r="B12" s="3" t="s">
        <v>290</v>
      </c>
      <c r="C12" s="5">
        <v>679</v>
      </c>
      <c r="D12" s="5">
        <v>651</v>
      </c>
      <c r="E12" s="5">
        <v>651</v>
      </c>
      <c r="F12" s="5">
        <v>3</v>
      </c>
      <c r="G12" s="3">
        <f t="shared" si="0"/>
        <v>1953</v>
      </c>
      <c r="H12" s="3" t="s">
        <v>48</v>
      </c>
      <c r="I12" s="3">
        <v>5</v>
      </c>
      <c r="J12" s="3">
        <v>30</v>
      </c>
      <c r="K12" s="3">
        <f t="shared" si="1"/>
        <v>150</v>
      </c>
      <c r="L12" s="11">
        <f t="shared" si="2"/>
        <v>2103</v>
      </c>
    </row>
    <row r="13" ht="18" customHeight="1" spans="1:12">
      <c r="A13" s="3">
        <v>11</v>
      </c>
      <c r="B13" s="3" t="s">
        <v>291</v>
      </c>
      <c r="C13" s="5">
        <v>690</v>
      </c>
      <c r="D13" s="5">
        <v>700</v>
      </c>
      <c r="E13" s="5">
        <v>700</v>
      </c>
      <c r="F13" s="5">
        <v>3</v>
      </c>
      <c r="G13" s="3">
        <f t="shared" si="0"/>
        <v>2100</v>
      </c>
      <c r="H13" s="3" t="s">
        <v>50</v>
      </c>
      <c r="I13" s="3">
        <v>3</v>
      </c>
      <c r="J13" s="3">
        <v>33</v>
      </c>
      <c r="K13" s="3">
        <f t="shared" si="1"/>
        <v>99</v>
      </c>
      <c r="L13" s="11">
        <f t="shared" si="2"/>
        <v>2199</v>
      </c>
    </row>
    <row r="14" ht="18" customHeight="1" spans="1:12">
      <c r="A14" s="3">
        <v>12</v>
      </c>
      <c r="B14" s="3" t="s">
        <v>292</v>
      </c>
      <c r="C14" s="5">
        <v>666</v>
      </c>
      <c r="D14" s="5">
        <v>646</v>
      </c>
      <c r="E14" s="5">
        <v>646</v>
      </c>
      <c r="F14" s="5">
        <v>3</v>
      </c>
      <c r="G14" s="3">
        <f t="shared" si="0"/>
        <v>1938</v>
      </c>
      <c r="H14" s="3" t="s">
        <v>52</v>
      </c>
      <c r="I14" s="3">
        <v>2</v>
      </c>
      <c r="J14" s="3">
        <v>36</v>
      </c>
      <c r="K14" s="3">
        <f t="shared" si="1"/>
        <v>72</v>
      </c>
      <c r="L14" s="11">
        <f t="shared" si="2"/>
        <v>2010</v>
      </c>
    </row>
    <row r="15" ht="18" customHeight="1" spans="1:12">
      <c r="A15" s="3">
        <v>13</v>
      </c>
      <c r="B15" s="3" t="s">
        <v>293</v>
      </c>
      <c r="C15" s="5">
        <v>635</v>
      </c>
      <c r="D15" s="5">
        <v>657</v>
      </c>
      <c r="E15" s="5">
        <v>657</v>
      </c>
      <c r="F15" s="5">
        <v>3</v>
      </c>
      <c r="G15" s="3">
        <f t="shared" si="0"/>
        <v>1971</v>
      </c>
      <c r="H15" s="3" t="s">
        <v>54</v>
      </c>
      <c r="I15" s="3">
        <v>3</v>
      </c>
      <c r="J15" s="3">
        <v>39</v>
      </c>
      <c r="K15" s="3">
        <f t="shared" si="1"/>
        <v>117</v>
      </c>
      <c r="L15" s="11">
        <f t="shared" si="2"/>
        <v>2088</v>
      </c>
    </row>
    <row r="16" ht="18" customHeight="1" spans="1:12">
      <c r="A16" s="3">
        <v>14</v>
      </c>
      <c r="B16" s="3" t="s">
        <v>294</v>
      </c>
      <c r="C16" s="5">
        <v>342</v>
      </c>
      <c r="D16" s="5">
        <v>367</v>
      </c>
      <c r="E16" s="5">
        <v>367</v>
      </c>
      <c r="F16" s="5">
        <v>3</v>
      </c>
      <c r="G16" s="3">
        <f t="shared" si="0"/>
        <v>1101</v>
      </c>
      <c r="H16" s="3" t="s">
        <v>56</v>
      </c>
      <c r="I16" s="3">
        <v>4</v>
      </c>
      <c r="J16" s="3">
        <v>42</v>
      </c>
      <c r="K16" s="3">
        <f t="shared" si="1"/>
        <v>168</v>
      </c>
      <c r="L16" s="11">
        <f t="shared" si="2"/>
        <v>1269</v>
      </c>
    </row>
    <row r="17" ht="18" customHeight="1" spans="1:12">
      <c r="A17" s="3">
        <v>15</v>
      </c>
      <c r="B17" s="3" t="s">
        <v>295</v>
      </c>
      <c r="C17" s="5">
        <v>371</v>
      </c>
      <c r="D17" s="5">
        <v>337</v>
      </c>
      <c r="E17" s="5">
        <v>337</v>
      </c>
      <c r="F17" s="5">
        <v>3</v>
      </c>
      <c r="G17" s="3">
        <f t="shared" si="0"/>
        <v>1011</v>
      </c>
      <c r="H17" s="3" t="s">
        <v>58</v>
      </c>
      <c r="I17" s="3">
        <v>0</v>
      </c>
      <c r="J17" s="3">
        <v>45</v>
      </c>
      <c r="K17" s="3">
        <f t="shared" si="1"/>
        <v>0</v>
      </c>
      <c r="L17" s="11">
        <f t="shared" si="2"/>
        <v>1011</v>
      </c>
    </row>
    <row r="18" ht="18" customHeight="1" spans="1:12">
      <c r="A18" s="3">
        <v>16</v>
      </c>
      <c r="B18" s="3" t="s">
        <v>296</v>
      </c>
      <c r="C18" s="5">
        <v>673</v>
      </c>
      <c r="D18" s="5">
        <v>696</v>
      </c>
      <c r="E18" s="5">
        <v>696</v>
      </c>
      <c r="F18" s="5">
        <v>3</v>
      </c>
      <c r="G18" s="3">
        <f t="shared" si="0"/>
        <v>2088</v>
      </c>
      <c r="H18" s="3" t="s">
        <v>60</v>
      </c>
      <c r="I18" s="3">
        <v>1</v>
      </c>
      <c r="J18" s="3">
        <v>48</v>
      </c>
      <c r="K18" s="3">
        <f t="shared" si="1"/>
        <v>48</v>
      </c>
      <c r="L18" s="11">
        <f t="shared" si="2"/>
        <v>2136</v>
      </c>
    </row>
    <row r="19" ht="18" customHeight="1" spans="1:12">
      <c r="A19" s="3">
        <v>17</v>
      </c>
      <c r="B19" s="3" t="s">
        <v>297</v>
      </c>
      <c r="C19" s="5">
        <v>678</v>
      </c>
      <c r="D19" s="5">
        <v>653</v>
      </c>
      <c r="E19" s="5">
        <v>653</v>
      </c>
      <c r="F19" s="5">
        <v>3</v>
      </c>
      <c r="G19" s="3">
        <f t="shared" si="0"/>
        <v>1959</v>
      </c>
      <c r="H19" s="3" t="s">
        <v>62</v>
      </c>
      <c r="I19" s="3">
        <v>0</v>
      </c>
      <c r="J19" s="3">
        <v>51</v>
      </c>
      <c r="K19" s="3">
        <f t="shared" si="1"/>
        <v>0</v>
      </c>
      <c r="L19" s="11">
        <f t="shared" si="2"/>
        <v>1959</v>
      </c>
    </row>
    <row r="20" ht="18" customHeight="1" spans="1:12">
      <c r="A20" s="3">
        <v>18</v>
      </c>
      <c r="B20" s="3" t="s">
        <v>298</v>
      </c>
      <c r="C20" s="5">
        <v>704</v>
      </c>
      <c r="D20" s="5">
        <v>689</v>
      </c>
      <c r="E20" s="5">
        <v>689</v>
      </c>
      <c r="F20" s="5">
        <v>3</v>
      </c>
      <c r="G20" s="3">
        <f t="shared" si="0"/>
        <v>2067</v>
      </c>
      <c r="H20" s="3" t="s">
        <v>64</v>
      </c>
      <c r="I20" s="3">
        <v>0</v>
      </c>
      <c r="J20" s="3">
        <v>54</v>
      </c>
      <c r="K20" s="3">
        <f t="shared" si="1"/>
        <v>0</v>
      </c>
      <c r="L20" s="11">
        <f t="shared" si="2"/>
        <v>2067</v>
      </c>
    </row>
    <row r="21" ht="18" customHeight="1" spans="1:12">
      <c r="A21" s="3">
        <v>19</v>
      </c>
      <c r="B21" s="3" t="s">
        <v>299</v>
      </c>
      <c r="C21" s="5">
        <v>688</v>
      </c>
      <c r="D21" s="5">
        <v>713</v>
      </c>
      <c r="E21" s="5">
        <v>713</v>
      </c>
      <c r="F21" s="5">
        <v>3</v>
      </c>
      <c r="G21" s="3">
        <f t="shared" si="0"/>
        <v>2139</v>
      </c>
      <c r="H21" s="3" t="s">
        <v>66</v>
      </c>
      <c r="I21" s="3">
        <v>1</v>
      </c>
      <c r="J21" s="3">
        <v>57</v>
      </c>
      <c r="K21" s="3">
        <f t="shared" si="1"/>
        <v>57</v>
      </c>
      <c r="L21" s="11">
        <f t="shared" si="2"/>
        <v>2196</v>
      </c>
    </row>
    <row r="22" ht="18" customHeight="1" spans="1:12">
      <c r="A22" s="3">
        <v>20</v>
      </c>
      <c r="B22" s="3" t="s">
        <v>300</v>
      </c>
      <c r="C22" s="5">
        <v>669</v>
      </c>
      <c r="D22" s="5">
        <v>692</v>
      </c>
      <c r="E22" s="5">
        <v>692</v>
      </c>
      <c r="F22" s="5">
        <v>3</v>
      </c>
      <c r="G22" s="3">
        <f t="shared" si="0"/>
        <v>2076</v>
      </c>
      <c r="H22" s="3" t="s">
        <v>68</v>
      </c>
      <c r="I22" s="3">
        <v>0</v>
      </c>
      <c r="J22" s="3">
        <v>60</v>
      </c>
      <c r="K22" s="3">
        <f t="shared" si="1"/>
        <v>0</v>
      </c>
      <c r="L22" s="11">
        <f t="shared" si="2"/>
        <v>2076</v>
      </c>
    </row>
    <row r="23" ht="18" customHeight="1" spans="1:12">
      <c r="A23" s="3">
        <v>21</v>
      </c>
      <c r="B23" s="3" t="s">
        <v>301</v>
      </c>
      <c r="C23" s="5">
        <v>343</v>
      </c>
      <c r="D23" s="5">
        <v>352</v>
      </c>
      <c r="E23" s="5">
        <v>352</v>
      </c>
      <c r="F23" s="5">
        <v>3</v>
      </c>
      <c r="G23" s="3">
        <f t="shared" si="0"/>
        <v>1056</v>
      </c>
      <c r="H23" s="3" t="s">
        <v>70</v>
      </c>
      <c r="I23" s="3">
        <v>0</v>
      </c>
      <c r="J23" s="3">
        <v>63</v>
      </c>
      <c r="K23" s="3">
        <f t="shared" si="1"/>
        <v>0</v>
      </c>
      <c r="L23" s="11">
        <f t="shared" si="2"/>
        <v>1056</v>
      </c>
    </row>
    <row r="24" ht="18" customHeight="1" spans="1:12">
      <c r="A24" s="3">
        <v>22</v>
      </c>
      <c r="B24" s="3" t="s">
        <v>302</v>
      </c>
      <c r="C24" s="5">
        <v>337</v>
      </c>
      <c r="D24" s="5">
        <v>345</v>
      </c>
      <c r="E24" s="5">
        <v>345</v>
      </c>
      <c r="F24" s="5">
        <v>3</v>
      </c>
      <c r="G24" s="3">
        <f t="shared" si="0"/>
        <v>1035</v>
      </c>
      <c r="H24" s="3" t="s">
        <v>72</v>
      </c>
      <c r="I24" s="3">
        <v>1</v>
      </c>
      <c r="J24" s="3">
        <v>66</v>
      </c>
      <c r="K24" s="3">
        <f t="shared" si="1"/>
        <v>66</v>
      </c>
      <c r="L24" s="11">
        <f t="shared" si="2"/>
        <v>1101</v>
      </c>
    </row>
    <row r="25" ht="18" customHeight="1" spans="1:12">
      <c r="A25" s="3">
        <v>23</v>
      </c>
      <c r="B25" s="3" t="s">
        <v>303</v>
      </c>
      <c r="C25" s="5">
        <v>690</v>
      </c>
      <c r="D25" s="5">
        <v>683</v>
      </c>
      <c r="E25" s="5">
        <v>683</v>
      </c>
      <c r="F25" s="5">
        <v>3</v>
      </c>
      <c r="G25" s="3">
        <f t="shared" si="0"/>
        <v>2049</v>
      </c>
      <c r="H25" s="3" t="s">
        <v>74</v>
      </c>
      <c r="I25" s="3">
        <v>0</v>
      </c>
      <c r="J25" s="3">
        <v>69</v>
      </c>
      <c r="K25" s="3">
        <f t="shared" si="1"/>
        <v>0</v>
      </c>
      <c r="L25" s="11">
        <f t="shared" si="2"/>
        <v>2049</v>
      </c>
    </row>
    <row r="26" ht="18" customHeight="1" spans="1:12">
      <c r="A26" s="3">
        <v>24</v>
      </c>
      <c r="B26" s="3" t="s">
        <v>304</v>
      </c>
      <c r="C26" s="5">
        <v>662</v>
      </c>
      <c r="D26" s="5">
        <v>658</v>
      </c>
      <c r="E26" s="5">
        <v>658</v>
      </c>
      <c r="F26" s="5">
        <v>3</v>
      </c>
      <c r="G26" s="3">
        <f t="shared" si="0"/>
        <v>1974</v>
      </c>
      <c r="H26" s="3" t="s">
        <v>76</v>
      </c>
      <c r="I26" s="3">
        <v>0</v>
      </c>
      <c r="J26" s="3">
        <v>72</v>
      </c>
      <c r="K26" s="3">
        <f t="shared" si="1"/>
        <v>0</v>
      </c>
      <c r="L26" s="11">
        <f t="shared" si="2"/>
        <v>1974</v>
      </c>
    </row>
    <row r="27" ht="18" customHeight="1" spans="1:12">
      <c r="A27" s="3">
        <v>25</v>
      </c>
      <c r="B27" s="3" t="s">
        <v>305</v>
      </c>
      <c r="C27" s="5">
        <v>695</v>
      </c>
      <c r="D27" s="5">
        <v>668</v>
      </c>
      <c r="E27" s="5">
        <v>668</v>
      </c>
      <c r="F27" s="5">
        <v>3</v>
      </c>
      <c r="G27" s="3">
        <f t="shared" si="0"/>
        <v>2004</v>
      </c>
      <c r="H27" s="3" t="s">
        <v>78</v>
      </c>
      <c r="I27" s="3">
        <v>1</v>
      </c>
      <c r="J27" s="3">
        <v>75</v>
      </c>
      <c r="K27" s="3">
        <f t="shared" si="1"/>
        <v>75</v>
      </c>
      <c r="L27" s="11">
        <f t="shared" si="2"/>
        <v>2079</v>
      </c>
    </row>
    <row r="28" ht="18" customHeight="1" spans="1:12">
      <c r="A28" s="3">
        <v>26</v>
      </c>
      <c r="B28" s="3" t="s">
        <v>306</v>
      </c>
      <c r="C28" s="5">
        <v>678</v>
      </c>
      <c r="D28" s="5">
        <v>698</v>
      </c>
      <c r="E28" s="5">
        <v>698</v>
      </c>
      <c r="F28" s="5">
        <v>3</v>
      </c>
      <c r="G28" s="3">
        <f t="shared" si="0"/>
        <v>2094</v>
      </c>
      <c r="H28" s="3" t="s">
        <v>80</v>
      </c>
      <c r="I28" s="3">
        <v>0</v>
      </c>
      <c r="J28" s="3">
        <v>78</v>
      </c>
      <c r="K28" s="3">
        <f t="shared" si="1"/>
        <v>0</v>
      </c>
      <c r="L28" s="11">
        <f t="shared" si="2"/>
        <v>2094</v>
      </c>
    </row>
    <row r="29" ht="18" customHeight="1" spans="1:12">
      <c r="A29" s="3">
        <v>27</v>
      </c>
      <c r="B29" s="3" t="s">
        <v>307</v>
      </c>
      <c r="C29" s="5">
        <v>638</v>
      </c>
      <c r="D29" s="5">
        <v>647</v>
      </c>
      <c r="E29" s="5">
        <v>647</v>
      </c>
      <c r="F29" s="5">
        <v>3</v>
      </c>
      <c r="G29" s="3">
        <f t="shared" si="0"/>
        <v>1941</v>
      </c>
      <c r="H29" s="3" t="s">
        <v>82</v>
      </c>
      <c r="I29" s="3">
        <v>1</v>
      </c>
      <c r="J29" s="3">
        <v>81</v>
      </c>
      <c r="K29" s="3">
        <f t="shared" si="1"/>
        <v>81</v>
      </c>
      <c r="L29" s="11">
        <f t="shared" si="2"/>
        <v>2022</v>
      </c>
    </row>
    <row r="30" ht="18" customHeight="1" spans="1:12">
      <c r="A30" s="3">
        <v>28</v>
      </c>
      <c r="B30" s="3" t="s">
        <v>308</v>
      </c>
      <c r="C30" s="5">
        <v>392</v>
      </c>
      <c r="D30" s="5">
        <v>404</v>
      </c>
      <c r="E30" s="5">
        <v>404</v>
      </c>
      <c r="F30" s="5">
        <v>3</v>
      </c>
      <c r="G30" s="3">
        <f t="shared" si="0"/>
        <v>1212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11">
        <f t="shared" si="2"/>
        <v>1212</v>
      </c>
    </row>
    <row r="31" ht="18" customHeight="1" spans="1:12">
      <c r="A31" s="3">
        <v>29</v>
      </c>
      <c r="B31" s="3" t="s">
        <v>309</v>
      </c>
      <c r="C31" s="5">
        <v>305</v>
      </c>
      <c r="D31" s="5">
        <v>333</v>
      </c>
      <c r="E31" s="5">
        <v>333</v>
      </c>
      <c r="F31" s="5">
        <v>3</v>
      </c>
      <c r="G31" s="3">
        <f t="shared" si="0"/>
        <v>999</v>
      </c>
      <c r="H31" s="3" t="s">
        <v>86</v>
      </c>
      <c r="I31" s="3">
        <v>1</v>
      </c>
      <c r="J31" s="3">
        <v>87</v>
      </c>
      <c r="K31" s="3">
        <f t="shared" si="1"/>
        <v>87</v>
      </c>
      <c r="L31" s="11">
        <f t="shared" si="2"/>
        <v>1086</v>
      </c>
    </row>
    <row r="32" ht="18" customHeight="1" spans="1:12">
      <c r="A32" s="3">
        <v>30</v>
      </c>
      <c r="B32" s="3" t="s">
        <v>310</v>
      </c>
      <c r="C32" s="5">
        <v>719</v>
      </c>
      <c r="D32" s="5">
        <v>683</v>
      </c>
      <c r="E32" s="5">
        <v>683</v>
      </c>
      <c r="F32" s="5">
        <v>3</v>
      </c>
      <c r="G32" s="3">
        <f t="shared" si="0"/>
        <v>2049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11">
        <f t="shared" si="2"/>
        <v>2049</v>
      </c>
    </row>
    <row r="33" ht="18" customHeight="1" spans="1:12">
      <c r="A33" s="5">
        <v>31</v>
      </c>
      <c r="B33" s="3" t="s">
        <v>311</v>
      </c>
      <c r="C33" s="5">
        <v>666</v>
      </c>
      <c r="D33" s="5">
        <v>670</v>
      </c>
      <c r="E33" s="5">
        <v>670</v>
      </c>
      <c r="F33" s="5">
        <v>3</v>
      </c>
      <c r="G33" s="3">
        <f t="shared" si="0"/>
        <v>2010</v>
      </c>
      <c r="H33" s="3" t="s">
        <v>90</v>
      </c>
      <c r="I33" s="3">
        <v>2</v>
      </c>
      <c r="J33" s="3">
        <v>93</v>
      </c>
      <c r="K33" s="3">
        <f t="shared" si="1"/>
        <v>186</v>
      </c>
      <c r="L33" s="11">
        <f t="shared" si="2"/>
        <v>2196</v>
      </c>
    </row>
    <row r="34" ht="18" customHeight="1" spans="1:12">
      <c r="A34" s="5" t="s">
        <v>23</v>
      </c>
      <c r="B34" s="6"/>
      <c r="C34" s="5">
        <v>17476</v>
      </c>
      <c r="D34" s="5">
        <v>17507</v>
      </c>
      <c r="E34" s="5">
        <v>17507</v>
      </c>
      <c r="F34" s="5">
        <v>3</v>
      </c>
      <c r="G34" s="3">
        <f t="shared" si="0"/>
        <v>52521</v>
      </c>
      <c r="H34" s="7"/>
      <c r="I34" s="12"/>
      <c r="J34" s="13"/>
      <c r="K34" s="3">
        <v>11295</v>
      </c>
      <c r="L34" s="11">
        <f t="shared" si="2"/>
        <v>63816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H2" sqref="H2:J2"/>
    </sheetView>
  </sheetViews>
  <sheetFormatPr defaultColWidth="12" defaultRowHeight="22" customHeight="1"/>
  <cols>
    <col min="1" max="1" width="15.5" customWidth="1"/>
    <col min="2" max="2" width="18.375" customWidth="1"/>
    <col min="3" max="3" width="18.875" customWidth="1"/>
    <col min="4" max="4" width="16.5" customWidth="1"/>
    <col min="5" max="5" width="18.5" customWidth="1"/>
    <col min="6" max="6" width="20.875" customWidth="1"/>
    <col min="7" max="7" width="22" customWidth="1"/>
    <col min="8" max="8" width="9.875" customWidth="1"/>
    <col min="9" max="9" width="10.375" customWidth="1"/>
    <col min="10" max="10" width="9.375" customWidth="1"/>
    <col min="11" max="11" width="20.875" customWidth="1"/>
    <col min="12" max="12" width="14.25" customWidth="1"/>
    <col min="13" max="16384" width="12" customWidth="1"/>
  </cols>
  <sheetData>
    <row r="1" customHeight="1" spans="1:12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313</v>
      </c>
      <c r="C3" s="3">
        <v>665</v>
      </c>
      <c r="D3" s="3">
        <v>674</v>
      </c>
      <c r="E3" s="3">
        <v>674</v>
      </c>
      <c r="F3" s="3">
        <v>3</v>
      </c>
      <c r="G3" s="3">
        <f t="shared" ref="G3:G33" si="0">E3*F3</f>
        <v>2022</v>
      </c>
      <c r="H3" s="3" t="s">
        <v>30</v>
      </c>
      <c r="I3" s="3">
        <v>1478</v>
      </c>
      <c r="J3" s="3">
        <v>3</v>
      </c>
      <c r="K3" s="3">
        <f t="shared" ref="K3:K32" si="1">I3*J3</f>
        <v>4434</v>
      </c>
      <c r="L3" s="11">
        <f>G3+K3</f>
        <v>6456</v>
      </c>
    </row>
    <row r="4" ht="18" customHeight="1" spans="1:12">
      <c r="A4" s="3">
        <v>2</v>
      </c>
      <c r="B4" s="3" t="s">
        <v>314</v>
      </c>
      <c r="C4" s="3">
        <v>662</v>
      </c>
      <c r="D4" s="3">
        <v>664</v>
      </c>
      <c r="E4" s="3">
        <v>664</v>
      </c>
      <c r="F4" s="5">
        <v>3</v>
      </c>
      <c r="G4" s="3">
        <f t="shared" si="0"/>
        <v>1992</v>
      </c>
      <c r="H4" s="3" t="s">
        <v>32</v>
      </c>
      <c r="I4" s="3">
        <v>290</v>
      </c>
      <c r="J4" s="3">
        <v>6</v>
      </c>
      <c r="K4" s="3">
        <f t="shared" si="1"/>
        <v>1740</v>
      </c>
      <c r="L4" s="11">
        <f t="shared" ref="L3:L33" si="2">G4+K4</f>
        <v>3732</v>
      </c>
    </row>
    <row r="5" ht="18" customHeight="1" spans="1:12">
      <c r="A5" s="3">
        <v>3</v>
      </c>
      <c r="B5" s="3" t="s">
        <v>315</v>
      </c>
      <c r="C5" s="3">
        <v>699</v>
      </c>
      <c r="D5" s="3">
        <v>722</v>
      </c>
      <c r="E5" s="3">
        <v>722</v>
      </c>
      <c r="F5" s="5">
        <v>3</v>
      </c>
      <c r="G5" s="3">
        <f t="shared" si="0"/>
        <v>2166</v>
      </c>
      <c r="H5" s="3" t="s">
        <v>34</v>
      </c>
      <c r="I5" s="3">
        <v>134</v>
      </c>
      <c r="J5" s="3">
        <v>9</v>
      </c>
      <c r="K5" s="3">
        <f t="shared" si="1"/>
        <v>1206</v>
      </c>
      <c r="L5" s="11">
        <f t="shared" si="2"/>
        <v>3372</v>
      </c>
    </row>
    <row r="6" ht="18" customHeight="1" spans="1:12">
      <c r="A6" s="3">
        <v>4</v>
      </c>
      <c r="B6" s="3" t="s">
        <v>316</v>
      </c>
      <c r="C6" s="3">
        <v>375</v>
      </c>
      <c r="D6" s="3">
        <v>376</v>
      </c>
      <c r="E6" s="3">
        <v>376</v>
      </c>
      <c r="F6" s="5">
        <v>3</v>
      </c>
      <c r="G6" s="3">
        <f t="shared" si="0"/>
        <v>1128</v>
      </c>
      <c r="H6" s="3" t="s">
        <v>36</v>
      </c>
      <c r="I6" s="3">
        <v>79</v>
      </c>
      <c r="J6" s="3">
        <v>12</v>
      </c>
      <c r="K6" s="3">
        <f t="shared" si="1"/>
        <v>948</v>
      </c>
      <c r="L6" s="11">
        <f t="shared" si="2"/>
        <v>2076</v>
      </c>
    </row>
    <row r="7" ht="18" customHeight="1" spans="1:12">
      <c r="A7" s="3">
        <v>5</v>
      </c>
      <c r="B7" s="3" t="s">
        <v>317</v>
      </c>
      <c r="C7" s="3">
        <v>365</v>
      </c>
      <c r="D7" s="3">
        <v>387</v>
      </c>
      <c r="E7" s="3">
        <v>387</v>
      </c>
      <c r="F7" s="5">
        <v>3</v>
      </c>
      <c r="G7" s="3">
        <f t="shared" si="0"/>
        <v>1161</v>
      </c>
      <c r="H7" s="3" t="s">
        <v>38</v>
      </c>
      <c r="I7" s="3">
        <v>48</v>
      </c>
      <c r="J7" s="3">
        <v>15</v>
      </c>
      <c r="K7" s="3">
        <f t="shared" si="1"/>
        <v>720</v>
      </c>
      <c r="L7" s="11">
        <f t="shared" si="2"/>
        <v>1881</v>
      </c>
    </row>
    <row r="8" ht="18" customHeight="1" spans="1:12">
      <c r="A8" s="3">
        <v>6</v>
      </c>
      <c r="B8" s="3" t="s">
        <v>318</v>
      </c>
      <c r="C8" s="5">
        <v>730</v>
      </c>
      <c r="D8" s="5">
        <v>695</v>
      </c>
      <c r="E8" s="5">
        <v>695</v>
      </c>
      <c r="F8" s="5">
        <v>3</v>
      </c>
      <c r="G8" s="3">
        <f t="shared" si="0"/>
        <v>2085</v>
      </c>
      <c r="H8" s="3" t="s">
        <v>40</v>
      </c>
      <c r="I8" s="3">
        <v>40</v>
      </c>
      <c r="J8" s="3">
        <v>18</v>
      </c>
      <c r="K8" s="3">
        <f t="shared" si="1"/>
        <v>720</v>
      </c>
      <c r="L8" s="11">
        <f t="shared" si="2"/>
        <v>2805</v>
      </c>
    </row>
    <row r="9" ht="18" customHeight="1" spans="1:12">
      <c r="A9" s="3">
        <v>7</v>
      </c>
      <c r="B9" s="3" t="s">
        <v>319</v>
      </c>
      <c r="C9" s="5">
        <v>704</v>
      </c>
      <c r="D9" s="5">
        <v>684</v>
      </c>
      <c r="E9" s="5">
        <v>684</v>
      </c>
      <c r="F9" s="5">
        <v>3</v>
      </c>
      <c r="G9" s="3">
        <f t="shared" si="0"/>
        <v>2052</v>
      </c>
      <c r="H9" s="3" t="s">
        <v>42</v>
      </c>
      <c r="I9" s="3">
        <v>19</v>
      </c>
      <c r="J9" s="3">
        <v>21</v>
      </c>
      <c r="K9" s="3">
        <f t="shared" si="1"/>
        <v>399</v>
      </c>
      <c r="L9" s="11">
        <f t="shared" si="2"/>
        <v>2451</v>
      </c>
    </row>
    <row r="10" ht="18" customHeight="1" spans="1:12">
      <c r="A10" s="3">
        <v>8</v>
      </c>
      <c r="B10" s="3" t="s">
        <v>320</v>
      </c>
      <c r="C10" s="5">
        <v>682</v>
      </c>
      <c r="D10" s="5">
        <v>684</v>
      </c>
      <c r="E10" s="5">
        <v>684</v>
      </c>
      <c r="F10" s="5">
        <v>3</v>
      </c>
      <c r="G10" s="3">
        <f t="shared" si="0"/>
        <v>2052</v>
      </c>
      <c r="H10" s="3" t="s">
        <v>44</v>
      </c>
      <c r="I10" s="3">
        <v>11</v>
      </c>
      <c r="J10" s="3">
        <v>24</v>
      </c>
      <c r="K10" s="3">
        <f t="shared" si="1"/>
        <v>264</v>
      </c>
      <c r="L10" s="11">
        <f t="shared" si="2"/>
        <v>2316</v>
      </c>
    </row>
    <row r="11" ht="18" customHeight="1" spans="1:12">
      <c r="A11" s="3">
        <v>9</v>
      </c>
      <c r="B11" s="3" t="s">
        <v>321</v>
      </c>
      <c r="C11" s="5">
        <v>678</v>
      </c>
      <c r="D11" s="5">
        <v>693</v>
      </c>
      <c r="E11" s="5">
        <v>693</v>
      </c>
      <c r="F11" s="5">
        <v>3</v>
      </c>
      <c r="G11" s="3">
        <f t="shared" si="0"/>
        <v>2079</v>
      </c>
      <c r="H11" s="3" t="s">
        <v>46</v>
      </c>
      <c r="I11" s="3">
        <v>9</v>
      </c>
      <c r="J11" s="3">
        <v>27</v>
      </c>
      <c r="K11" s="3">
        <f t="shared" si="1"/>
        <v>243</v>
      </c>
      <c r="L11" s="11">
        <f t="shared" si="2"/>
        <v>2322</v>
      </c>
    </row>
    <row r="12" ht="18" customHeight="1" spans="1:12">
      <c r="A12" s="3">
        <v>10</v>
      </c>
      <c r="B12" s="3" t="s">
        <v>322</v>
      </c>
      <c r="C12" s="5">
        <v>699</v>
      </c>
      <c r="D12" s="5">
        <v>725</v>
      </c>
      <c r="E12" s="5">
        <v>725</v>
      </c>
      <c r="F12" s="5">
        <v>3</v>
      </c>
      <c r="G12" s="3">
        <f t="shared" si="0"/>
        <v>2175</v>
      </c>
      <c r="H12" s="3" t="s">
        <v>48</v>
      </c>
      <c r="I12" s="3">
        <v>6</v>
      </c>
      <c r="J12" s="3">
        <v>30</v>
      </c>
      <c r="K12" s="3">
        <f t="shared" si="1"/>
        <v>180</v>
      </c>
      <c r="L12" s="11">
        <f t="shared" si="2"/>
        <v>2355</v>
      </c>
    </row>
    <row r="13" ht="18" customHeight="1" spans="1:12">
      <c r="A13" s="3">
        <v>11</v>
      </c>
      <c r="B13" s="3" t="s">
        <v>323</v>
      </c>
      <c r="C13" s="5">
        <v>399</v>
      </c>
      <c r="D13" s="5">
        <v>406</v>
      </c>
      <c r="E13" s="5">
        <v>406</v>
      </c>
      <c r="F13" s="5">
        <v>3</v>
      </c>
      <c r="G13" s="3">
        <f t="shared" si="0"/>
        <v>1218</v>
      </c>
      <c r="H13" s="3" t="s">
        <v>50</v>
      </c>
      <c r="I13" s="3">
        <v>2</v>
      </c>
      <c r="J13" s="3">
        <v>33</v>
      </c>
      <c r="K13" s="3">
        <f t="shared" si="1"/>
        <v>66</v>
      </c>
      <c r="L13" s="11">
        <f t="shared" si="2"/>
        <v>1284</v>
      </c>
    </row>
    <row r="14" ht="18" customHeight="1" spans="1:12">
      <c r="A14" s="3">
        <v>12</v>
      </c>
      <c r="B14" s="3" t="s">
        <v>324</v>
      </c>
      <c r="C14" s="5">
        <v>385</v>
      </c>
      <c r="D14" s="5">
        <v>376</v>
      </c>
      <c r="E14" s="5">
        <v>376</v>
      </c>
      <c r="F14" s="5">
        <v>3</v>
      </c>
      <c r="G14" s="3">
        <f t="shared" si="0"/>
        <v>1128</v>
      </c>
      <c r="H14" s="3" t="s">
        <v>52</v>
      </c>
      <c r="I14" s="3">
        <v>0</v>
      </c>
      <c r="J14" s="3">
        <v>36</v>
      </c>
      <c r="K14" s="3">
        <f t="shared" si="1"/>
        <v>0</v>
      </c>
      <c r="L14" s="11">
        <f t="shared" si="2"/>
        <v>1128</v>
      </c>
    </row>
    <row r="15" ht="18" customHeight="1" spans="1:12">
      <c r="A15" s="3">
        <v>13</v>
      </c>
      <c r="B15" s="3" t="s">
        <v>325</v>
      </c>
      <c r="C15" s="5">
        <v>744</v>
      </c>
      <c r="D15" s="5">
        <v>742</v>
      </c>
      <c r="E15" s="5">
        <v>742</v>
      </c>
      <c r="F15" s="5">
        <v>3</v>
      </c>
      <c r="G15" s="3">
        <f t="shared" si="0"/>
        <v>2226</v>
      </c>
      <c r="H15" s="3" t="s">
        <v>54</v>
      </c>
      <c r="I15" s="3">
        <v>2</v>
      </c>
      <c r="J15" s="3">
        <v>39</v>
      </c>
      <c r="K15" s="3">
        <f t="shared" si="1"/>
        <v>78</v>
      </c>
      <c r="L15" s="11">
        <f t="shared" si="2"/>
        <v>2304</v>
      </c>
    </row>
    <row r="16" ht="18" customHeight="1" spans="1:12">
      <c r="A16" s="3">
        <v>14</v>
      </c>
      <c r="B16" s="3" t="s">
        <v>326</v>
      </c>
      <c r="C16" s="5">
        <v>718</v>
      </c>
      <c r="D16" s="5">
        <v>700</v>
      </c>
      <c r="E16" s="5">
        <v>700</v>
      </c>
      <c r="F16" s="5">
        <v>3</v>
      </c>
      <c r="G16" s="3">
        <f t="shared" si="0"/>
        <v>2100</v>
      </c>
      <c r="H16" s="3" t="s">
        <v>56</v>
      </c>
      <c r="I16" s="3">
        <v>3</v>
      </c>
      <c r="J16" s="3">
        <v>42</v>
      </c>
      <c r="K16" s="3">
        <f t="shared" si="1"/>
        <v>126</v>
      </c>
      <c r="L16" s="11">
        <f t="shared" si="2"/>
        <v>2226</v>
      </c>
    </row>
    <row r="17" ht="18" customHeight="1" spans="1:12">
      <c r="A17" s="3">
        <v>15</v>
      </c>
      <c r="B17" s="3" t="s">
        <v>327</v>
      </c>
      <c r="C17" s="5">
        <v>733</v>
      </c>
      <c r="D17" s="5">
        <v>732</v>
      </c>
      <c r="E17" s="5">
        <v>732</v>
      </c>
      <c r="F17" s="5">
        <v>3</v>
      </c>
      <c r="G17" s="3">
        <f t="shared" si="0"/>
        <v>2196</v>
      </c>
      <c r="H17" s="3" t="s">
        <v>58</v>
      </c>
      <c r="I17" s="3">
        <v>1</v>
      </c>
      <c r="J17" s="3">
        <v>45</v>
      </c>
      <c r="K17" s="3">
        <f t="shared" si="1"/>
        <v>45</v>
      </c>
      <c r="L17" s="11">
        <f t="shared" si="2"/>
        <v>2241</v>
      </c>
    </row>
    <row r="18" ht="18" customHeight="1" spans="1:12">
      <c r="A18" s="3">
        <v>16</v>
      </c>
      <c r="B18" s="3" t="s">
        <v>328</v>
      </c>
      <c r="C18" s="5">
        <v>698</v>
      </c>
      <c r="D18" s="5">
        <v>701</v>
      </c>
      <c r="E18" s="5">
        <v>701</v>
      </c>
      <c r="F18" s="5">
        <v>3</v>
      </c>
      <c r="G18" s="3">
        <f t="shared" si="0"/>
        <v>2103</v>
      </c>
      <c r="H18" s="3" t="s">
        <v>60</v>
      </c>
      <c r="I18" s="3">
        <v>3</v>
      </c>
      <c r="J18" s="3">
        <v>48</v>
      </c>
      <c r="K18" s="3">
        <f t="shared" si="1"/>
        <v>144</v>
      </c>
      <c r="L18" s="11">
        <f t="shared" si="2"/>
        <v>2247</v>
      </c>
    </row>
    <row r="19" ht="18" customHeight="1" spans="1:12">
      <c r="A19" s="3">
        <v>17</v>
      </c>
      <c r="B19" s="3" t="s">
        <v>329</v>
      </c>
      <c r="C19" s="5">
        <v>668</v>
      </c>
      <c r="D19" s="5">
        <v>706</v>
      </c>
      <c r="E19" s="5">
        <v>706</v>
      </c>
      <c r="F19" s="5">
        <v>3</v>
      </c>
      <c r="G19" s="3">
        <f t="shared" si="0"/>
        <v>2118</v>
      </c>
      <c r="H19" s="3" t="s">
        <v>62</v>
      </c>
      <c r="I19" s="3">
        <v>0</v>
      </c>
      <c r="J19" s="3">
        <v>51</v>
      </c>
      <c r="K19" s="3">
        <f t="shared" si="1"/>
        <v>0</v>
      </c>
      <c r="L19" s="11">
        <f t="shared" si="2"/>
        <v>2118</v>
      </c>
    </row>
    <row r="20" ht="18" customHeight="1" spans="1:12">
      <c r="A20" s="3">
        <v>18</v>
      </c>
      <c r="B20" s="3" t="s">
        <v>330</v>
      </c>
      <c r="C20" s="5">
        <v>358</v>
      </c>
      <c r="D20" s="5">
        <v>394</v>
      </c>
      <c r="E20" s="5">
        <v>394</v>
      </c>
      <c r="F20" s="5">
        <v>3</v>
      </c>
      <c r="G20" s="3">
        <f t="shared" si="0"/>
        <v>1182</v>
      </c>
      <c r="H20" s="3" t="s">
        <v>64</v>
      </c>
      <c r="I20" s="3">
        <v>1</v>
      </c>
      <c r="J20" s="3">
        <v>54</v>
      </c>
      <c r="K20" s="3">
        <f t="shared" si="1"/>
        <v>54</v>
      </c>
      <c r="L20" s="11">
        <f t="shared" si="2"/>
        <v>1236</v>
      </c>
    </row>
    <row r="21" ht="18" customHeight="1" spans="1:12">
      <c r="A21" s="3">
        <v>19</v>
      </c>
      <c r="B21" s="3" t="s">
        <v>331</v>
      </c>
      <c r="C21" s="5">
        <v>377</v>
      </c>
      <c r="D21" s="5">
        <v>352</v>
      </c>
      <c r="E21" s="5">
        <v>352</v>
      </c>
      <c r="F21" s="5">
        <v>3</v>
      </c>
      <c r="G21" s="3">
        <f t="shared" si="0"/>
        <v>1056</v>
      </c>
      <c r="H21" s="3" t="s">
        <v>66</v>
      </c>
      <c r="I21" s="3">
        <v>1</v>
      </c>
      <c r="J21" s="3">
        <v>57</v>
      </c>
      <c r="K21" s="3">
        <f t="shared" si="1"/>
        <v>57</v>
      </c>
      <c r="L21" s="11">
        <f t="shared" si="2"/>
        <v>1113</v>
      </c>
    </row>
    <row r="22" ht="18" customHeight="1" spans="1:12">
      <c r="A22" s="3">
        <v>20</v>
      </c>
      <c r="B22" s="3" t="s">
        <v>332</v>
      </c>
      <c r="C22" s="5">
        <v>712</v>
      </c>
      <c r="D22" s="5">
        <v>715</v>
      </c>
      <c r="E22" s="5">
        <v>715</v>
      </c>
      <c r="F22" s="5">
        <v>3</v>
      </c>
      <c r="G22" s="3">
        <f t="shared" si="0"/>
        <v>2145</v>
      </c>
      <c r="H22" s="3" t="s">
        <v>68</v>
      </c>
      <c r="I22" s="3">
        <v>1</v>
      </c>
      <c r="J22" s="3">
        <v>60</v>
      </c>
      <c r="K22" s="3">
        <f t="shared" si="1"/>
        <v>60</v>
      </c>
      <c r="L22" s="11">
        <f t="shared" si="2"/>
        <v>2205</v>
      </c>
    </row>
    <row r="23" ht="18" customHeight="1" spans="1:12">
      <c r="A23" s="3">
        <v>21</v>
      </c>
      <c r="B23" s="3" t="s">
        <v>333</v>
      </c>
      <c r="C23" s="5">
        <v>697</v>
      </c>
      <c r="D23" s="5">
        <v>690</v>
      </c>
      <c r="E23" s="5">
        <v>690</v>
      </c>
      <c r="F23" s="5">
        <v>3</v>
      </c>
      <c r="G23" s="3">
        <f t="shared" si="0"/>
        <v>2070</v>
      </c>
      <c r="H23" s="3" t="s">
        <v>70</v>
      </c>
      <c r="I23" s="3">
        <v>0</v>
      </c>
      <c r="J23" s="3">
        <v>63</v>
      </c>
      <c r="K23" s="3">
        <f t="shared" si="1"/>
        <v>0</v>
      </c>
      <c r="L23" s="11">
        <f t="shared" si="2"/>
        <v>2070</v>
      </c>
    </row>
    <row r="24" ht="18" customHeight="1" spans="1:12">
      <c r="A24" s="3">
        <v>22</v>
      </c>
      <c r="B24" s="3" t="s">
        <v>334</v>
      </c>
      <c r="C24" s="5">
        <v>694</v>
      </c>
      <c r="D24" s="5">
        <v>695</v>
      </c>
      <c r="E24" s="5">
        <v>695</v>
      </c>
      <c r="F24" s="5">
        <v>3</v>
      </c>
      <c r="G24" s="3">
        <f t="shared" si="0"/>
        <v>2085</v>
      </c>
      <c r="H24" s="3" t="s">
        <v>72</v>
      </c>
      <c r="I24" s="3">
        <v>0</v>
      </c>
      <c r="J24" s="3">
        <v>66</v>
      </c>
      <c r="K24" s="3">
        <f t="shared" si="1"/>
        <v>0</v>
      </c>
      <c r="L24" s="11">
        <f t="shared" si="2"/>
        <v>2085</v>
      </c>
    </row>
    <row r="25" ht="18" customHeight="1" spans="1:12">
      <c r="A25" s="3">
        <v>23</v>
      </c>
      <c r="B25" s="3" t="s">
        <v>335</v>
      </c>
      <c r="C25" s="5">
        <v>708</v>
      </c>
      <c r="D25" s="5">
        <v>716</v>
      </c>
      <c r="E25" s="5">
        <v>716</v>
      </c>
      <c r="F25" s="5">
        <v>3</v>
      </c>
      <c r="G25" s="3">
        <f t="shared" si="0"/>
        <v>2148</v>
      </c>
      <c r="H25" s="3" t="s">
        <v>74</v>
      </c>
      <c r="I25" s="3">
        <v>1</v>
      </c>
      <c r="J25" s="3">
        <v>69</v>
      </c>
      <c r="K25" s="3">
        <f t="shared" si="1"/>
        <v>69</v>
      </c>
      <c r="L25" s="11">
        <f t="shared" si="2"/>
        <v>2217</v>
      </c>
    </row>
    <row r="26" ht="18" customHeight="1" spans="1:12">
      <c r="A26" s="3">
        <v>24</v>
      </c>
      <c r="B26" s="3" t="s">
        <v>336</v>
      </c>
      <c r="C26" s="5">
        <v>697</v>
      </c>
      <c r="D26" s="5">
        <v>702</v>
      </c>
      <c r="E26" s="5">
        <v>702</v>
      </c>
      <c r="F26" s="5">
        <v>3</v>
      </c>
      <c r="G26" s="3">
        <f t="shared" si="0"/>
        <v>2106</v>
      </c>
      <c r="H26" s="3" t="s">
        <v>76</v>
      </c>
      <c r="I26" s="3">
        <v>1</v>
      </c>
      <c r="J26" s="3">
        <v>72</v>
      </c>
      <c r="K26" s="3">
        <f t="shared" si="1"/>
        <v>72</v>
      </c>
      <c r="L26" s="11">
        <f t="shared" si="2"/>
        <v>2178</v>
      </c>
    </row>
    <row r="27" ht="18" customHeight="1" spans="1:12">
      <c r="A27" s="3">
        <v>25</v>
      </c>
      <c r="B27" s="3" t="s">
        <v>337</v>
      </c>
      <c r="C27" s="5">
        <v>392</v>
      </c>
      <c r="D27" s="5">
        <v>437</v>
      </c>
      <c r="E27" s="5">
        <v>437</v>
      </c>
      <c r="F27" s="5">
        <v>3</v>
      </c>
      <c r="G27" s="3">
        <f t="shared" si="0"/>
        <v>1311</v>
      </c>
      <c r="H27" s="3" t="s">
        <v>78</v>
      </c>
      <c r="I27" s="3">
        <v>1</v>
      </c>
      <c r="J27" s="3">
        <v>75</v>
      </c>
      <c r="K27" s="3">
        <f t="shared" si="1"/>
        <v>75</v>
      </c>
      <c r="L27" s="11">
        <f t="shared" si="2"/>
        <v>1386</v>
      </c>
    </row>
    <row r="28" ht="18" customHeight="1" spans="1:12">
      <c r="A28" s="3">
        <v>26</v>
      </c>
      <c r="B28" s="3" t="s">
        <v>338</v>
      </c>
      <c r="C28" s="5">
        <v>397</v>
      </c>
      <c r="D28" s="5">
        <v>381</v>
      </c>
      <c r="E28" s="5">
        <v>381</v>
      </c>
      <c r="F28" s="5">
        <v>3</v>
      </c>
      <c r="G28" s="3">
        <f t="shared" si="0"/>
        <v>1143</v>
      </c>
      <c r="H28" s="3" t="s">
        <v>80</v>
      </c>
      <c r="I28" s="3">
        <v>0</v>
      </c>
      <c r="J28" s="3">
        <v>78</v>
      </c>
      <c r="K28" s="3">
        <f t="shared" si="1"/>
        <v>0</v>
      </c>
      <c r="L28" s="11">
        <f t="shared" si="2"/>
        <v>1143</v>
      </c>
    </row>
    <row r="29" ht="18" customHeight="1" spans="1:12">
      <c r="A29" s="3">
        <v>27</v>
      </c>
      <c r="B29" s="3" t="s">
        <v>339</v>
      </c>
      <c r="C29" s="5">
        <v>755</v>
      </c>
      <c r="D29" s="5">
        <v>726</v>
      </c>
      <c r="E29" s="5">
        <v>726</v>
      </c>
      <c r="F29" s="5">
        <v>3</v>
      </c>
      <c r="G29" s="3">
        <f t="shared" si="0"/>
        <v>2178</v>
      </c>
      <c r="H29" s="3" t="s">
        <v>82</v>
      </c>
      <c r="I29" s="3">
        <v>0</v>
      </c>
      <c r="J29" s="3">
        <v>81</v>
      </c>
      <c r="K29" s="3">
        <f t="shared" si="1"/>
        <v>0</v>
      </c>
      <c r="L29" s="11">
        <f t="shared" si="2"/>
        <v>2178</v>
      </c>
    </row>
    <row r="30" ht="18" customHeight="1" spans="1:12">
      <c r="A30" s="3">
        <v>28</v>
      </c>
      <c r="B30" s="3" t="s">
        <v>340</v>
      </c>
      <c r="C30" s="5">
        <v>695</v>
      </c>
      <c r="D30" s="5">
        <v>705</v>
      </c>
      <c r="E30" s="5">
        <v>705</v>
      </c>
      <c r="F30" s="5">
        <v>3</v>
      </c>
      <c r="G30" s="3">
        <f t="shared" si="0"/>
        <v>2115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11">
        <f t="shared" si="2"/>
        <v>2115</v>
      </c>
    </row>
    <row r="31" ht="18" customHeight="1" spans="1:12">
      <c r="A31" s="3">
        <v>29</v>
      </c>
      <c r="B31" s="3" t="s">
        <v>341</v>
      </c>
      <c r="C31" s="5">
        <v>715</v>
      </c>
      <c r="D31" s="5">
        <v>724</v>
      </c>
      <c r="E31" s="5">
        <v>724</v>
      </c>
      <c r="F31" s="5">
        <v>3</v>
      </c>
      <c r="G31" s="3">
        <f t="shared" si="0"/>
        <v>2172</v>
      </c>
      <c r="H31" s="3" t="s">
        <v>86</v>
      </c>
      <c r="I31" s="3">
        <v>2</v>
      </c>
      <c r="J31" s="3">
        <v>87</v>
      </c>
      <c r="K31" s="3">
        <f t="shared" si="1"/>
        <v>174</v>
      </c>
      <c r="L31" s="11">
        <f t="shared" si="2"/>
        <v>2346</v>
      </c>
    </row>
    <row r="32" ht="18" customHeight="1" spans="1:12">
      <c r="A32" s="3">
        <v>30</v>
      </c>
      <c r="B32" s="3" t="s">
        <v>342</v>
      </c>
      <c r="C32" s="5">
        <v>725</v>
      </c>
      <c r="D32" s="5">
        <v>697</v>
      </c>
      <c r="E32" s="5">
        <v>697</v>
      </c>
      <c r="F32" s="5">
        <v>3</v>
      </c>
      <c r="G32" s="3">
        <f t="shared" si="0"/>
        <v>2091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11">
        <f t="shared" si="2"/>
        <v>2091</v>
      </c>
    </row>
    <row r="33" ht="18" customHeight="1" spans="1:12">
      <c r="A33" s="5" t="s">
        <v>23</v>
      </c>
      <c r="B33" s="6"/>
      <c r="C33" s="5">
        <v>18526</v>
      </c>
      <c r="D33" s="5">
        <v>18601</v>
      </c>
      <c r="E33" s="5">
        <v>18601</v>
      </c>
      <c r="F33" s="5">
        <v>3</v>
      </c>
      <c r="G33" s="3">
        <f t="shared" si="0"/>
        <v>55803</v>
      </c>
      <c r="H33" s="7"/>
      <c r="I33" s="12"/>
      <c r="J33" s="13"/>
      <c r="K33" s="3">
        <v>11874</v>
      </c>
      <c r="L33" s="11">
        <f t="shared" si="2"/>
        <v>67677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I8" sqref="I8"/>
    </sheetView>
  </sheetViews>
  <sheetFormatPr defaultColWidth="11.375" defaultRowHeight="22" customHeight="1"/>
  <cols>
    <col min="1" max="1" width="15" customWidth="1"/>
    <col min="2" max="2" width="16.5" customWidth="1"/>
    <col min="3" max="3" width="16.375" customWidth="1"/>
    <col min="4" max="4" width="17.25" customWidth="1"/>
    <col min="5" max="5" width="17.125" customWidth="1"/>
    <col min="6" max="6" width="20.125" customWidth="1"/>
    <col min="7" max="7" width="20" customWidth="1"/>
    <col min="8" max="8" width="11.375" customWidth="1"/>
    <col min="9" max="9" width="9.125" customWidth="1"/>
    <col min="10" max="10" width="8.875" customWidth="1"/>
    <col min="11" max="11" width="23.625" customWidth="1"/>
    <col min="12" max="12" width="17.75" customWidth="1"/>
    <col min="13" max="16384" width="11.375" customWidth="1"/>
  </cols>
  <sheetData>
    <row r="1" customHeight="1" spans="1:12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21</v>
      </c>
      <c r="G2" s="3" t="s">
        <v>26</v>
      </c>
      <c r="H2" s="4" t="s">
        <v>27</v>
      </c>
      <c r="I2" s="9"/>
      <c r="J2" s="10"/>
      <c r="K2" s="3" t="s">
        <v>28</v>
      </c>
      <c r="L2" s="3" t="s">
        <v>22</v>
      </c>
    </row>
    <row r="3" ht="18" customHeight="1" spans="1:12">
      <c r="A3" s="3">
        <v>1</v>
      </c>
      <c r="B3" s="3" t="s">
        <v>344</v>
      </c>
      <c r="C3" s="3">
        <v>681</v>
      </c>
      <c r="D3" s="3">
        <v>707</v>
      </c>
      <c r="E3" s="3">
        <v>707</v>
      </c>
      <c r="F3" s="3">
        <v>3</v>
      </c>
      <c r="G3" s="3">
        <f t="shared" ref="G3:G34" si="0">E3*F3</f>
        <v>2121</v>
      </c>
      <c r="H3" s="3" t="s">
        <v>30</v>
      </c>
      <c r="I3" s="3">
        <v>1626</v>
      </c>
      <c r="J3" s="3">
        <v>3</v>
      </c>
      <c r="K3" s="3">
        <f t="shared" ref="K3:K33" si="1">I3*J3</f>
        <v>4878</v>
      </c>
      <c r="L3" s="11">
        <f t="shared" ref="L3:L34" si="2">G3+K3</f>
        <v>6999</v>
      </c>
    </row>
    <row r="4" ht="18" customHeight="1" spans="1:12">
      <c r="A4" s="3">
        <v>2</v>
      </c>
      <c r="B4" s="3" t="s">
        <v>345</v>
      </c>
      <c r="C4" s="3">
        <v>375</v>
      </c>
      <c r="D4" s="3">
        <v>395</v>
      </c>
      <c r="E4" s="3">
        <v>395</v>
      </c>
      <c r="F4" s="5">
        <v>3</v>
      </c>
      <c r="G4" s="3">
        <f t="shared" si="0"/>
        <v>1185</v>
      </c>
      <c r="H4" s="3" t="s">
        <v>32</v>
      </c>
      <c r="I4" s="3">
        <v>351</v>
      </c>
      <c r="J4" s="3">
        <v>6</v>
      </c>
      <c r="K4" s="3">
        <f t="shared" si="1"/>
        <v>2106</v>
      </c>
      <c r="L4" s="11">
        <f t="shared" si="2"/>
        <v>3291</v>
      </c>
    </row>
    <row r="5" ht="18" customHeight="1" spans="1:12">
      <c r="A5" s="3">
        <v>3</v>
      </c>
      <c r="B5" s="3" t="s">
        <v>346</v>
      </c>
      <c r="C5" s="3">
        <v>332</v>
      </c>
      <c r="D5" s="3">
        <v>345</v>
      </c>
      <c r="E5" s="3">
        <v>345</v>
      </c>
      <c r="F5" s="5">
        <v>3</v>
      </c>
      <c r="G5" s="3">
        <f t="shared" si="0"/>
        <v>1035</v>
      </c>
      <c r="H5" s="3" t="s">
        <v>34</v>
      </c>
      <c r="I5" s="3">
        <v>165</v>
      </c>
      <c r="J5" s="3">
        <v>9</v>
      </c>
      <c r="K5" s="3">
        <f t="shared" si="1"/>
        <v>1485</v>
      </c>
      <c r="L5" s="11">
        <f t="shared" si="2"/>
        <v>2520</v>
      </c>
    </row>
    <row r="6" ht="18" customHeight="1" spans="1:12">
      <c r="A6" s="3">
        <v>4</v>
      </c>
      <c r="B6" s="3" t="s">
        <v>347</v>
      </c>
      <c r="C6" s="3">
        <v>761</v>
      </c>
      <c r="D6" s="3">
        <v>726</v>
      </c>
      <c r="E6" s="3">
        <v>726</v>
      </c>
      <c r="F6" s="5">
        <v>3</v>
      </c>
      <c r="G6" s="3">
        <f t="shared" si="0"/>
        <v>2178</v>
      </c>
      <c r="H6" s="3" t="s">
        <v>36</v>
      </c>
      <c r="I6" s="3">
        <v>94</v>
      </c>
      <c r="J6" s="3">
        <v>12</v>
      </c>
      <c r="K6" s="3">
        <f t="shared" si="1"/>
        <v>1128</v>
      </c>
      <c r="L6" s="11">
        <f t="shared" si="2"/>
        <v>3306</v>
      </c>
    </row>
    <row r="7" ht="18" customHeight="1" spans="1:12">
      <c r="A7" s="3">
        <v>5</v>
      </c>
      <c r="B7" s="3" t="s">
        <v>348</v>
      </c>
      <c r="C7" s="3">
        <v>694</v>
      </c>
      <c r="D7" s="3">
        <v>700</v>
      </c>
      <c r="E7" s="3">
        <v>700</v>
      </c>
      <c r="F7" s="5">
        <v>3</v>
      </c>
      <c r="G7" s="3">
        <f t="shared" si="0"/>
        <v>2100</v>
      </c>
      <c r="H7" s="3" t="s">
        <v>38</v>
      </c>
      <c r="I7" s="3">
        <v>54</v>
      </c>
      <c r="J7" s="3">
        <v>15</v>
      </c>
      <c r="K7" s="3">
        <f t="shared" si="1"/>
        <v>810</v>
      </c>
      <c r="L7" s="11">
        <f t="shared" si="2"/>
        <v>2910</v>
      </c>
    </row>
    <row r="8" ht="18" customHeight="1" spans="1:12">
      <c r="A8" s="3">
        <v>6</v>
      </c>
      <c r="B8" s="3" t="s">
        <v>349</v>
      </c>
      <c r="C8" s="5">
        <v>722</v>
      </c>
      <c r="D8" s="5">
        <v>716</v>
      </c>
      <c r="E8" s="5">
        <v>716</v>
      </c>
      <c r="F8" s="5">
        <v>3</v>
      </c>
      <c r="G8" s="3">
        <f t="shared" si="0"/>
        <v>2148</v>
      </c>
      <c r="H8" s="3" t="s">
        <v>40</v>
      </c>
      <c r="I8" s="3">
        <v>36</v>
      </c>
      <c r="J8" s="3">
        <v>18</v>
      </c>
      <c r="K8" s="3">
        <f t="shared" si="1"/>
        <v>648</v>
      </c>
      <c r="L8" s="11">
        <f t="shared" si="2"/>
        <v>2796</v>
      </c>
    </row>
    <row r="9" ht="18" customHeight="1" spans="1:12">
      <c r="A9" s="3">
        <v>7</v>
      </c>
      <c r="B9" s="3" t="s">
        <v>350</v>
      </c>
      <c r="C9" s="5">
        <v>684</v>
      </c>
      <c r="D9" s="5">
        <v>704</v>
      </c>
      <c r="E9" s="5">
        <v>704</v>
      </c>
      <c r="F9" s="5">
        <v>3</v>
      </c>
      <c r="G9" s="3">
        <f t="shared" si="0"/>
        <v>2112</v>
      </c>
      <c r="H9" s="3" t="s">
        <v>42</v>
      </c>
      <c r="I9" s="3">
        <v>15</v>
      </c>
      <c r="J9" s="3">
        <v>21</v>
      </c>
      <c r="K9" s="3">
        <f t="shared" si="1"/>
        <v>315</v>
      </c>
      <c r="L9" s="11">
        <f t="shared" si="2"/>
        <v>2427</v>
      </c>
    </row>
    <row r="10" ht="18" customHeight="1" spans="1:12">
      <c r="A10" s="3">
        <v>8</v>
      </c>
      <c r="B10" s="3" t="s">
        <v>351</v>
      </c>
      <c r="C10" s="5">
        <v>695</v>
      </c>
      <c r="D10" s="5">
        <v>713</v>
      </c>
      <c r="E10" s="5">
        <v>713</v>
      </c>
      <c r="F10" s="5">
        <v>3</v>
      </c>
      <c r="G10" s="3">
        <f t="shared" si="0"/>
        <v>2139</v>
      </c>
      <c r="H10" s="3" t="s">
        <v>44</v>
      </c>
      <c r="I10" s="3">
        <v>11</v>
      </c>
      <c r="J10" s="3">
        <v>24</v>
      </c>
      <c r="K10" s="3">
        <f t="shared" si="1"/>
        <v>264</v>
      </c>
      <c r="L10" s="11">
        <f t="shared" si="2"/>
        <v>2403</v>
      </c>
    </row>
    <row r="11" ht="18" customHeight="1" spans="1:12">
      <c r="A11" s="3">
        <v>9</v>
      </c>
      <c r="B11" s="3" t="s">
        <v>352</v>
      </c>
      <c r="C11" s="5">
        <v>430</v>
      </c>
      <c r="D11" s="5">
        <v>435</v>
      </c>
      <c r="E11" s="5">
        <v>435</v>
      </c>
      <c r="F11" s="5">
        <v>3</v>
      </c>
      <c r="G11" s="3">
        <f t="shared" si="0"/>
        <v>1305</v>
      </c>
      <c r="H11" s="3" t="s">
        <v>46</v>
      </c>
      <c r="I11" s="3">
        <v>8</v>
      </c>
      <c r="J11" s="3">
        <v>27</v>
      </c>
      <c r="K11" s="3">
        <f t="shared" si="1"/>
        <v>216</v>
      </c>
      <c r="L11" s="11">
        <f t="shared" si="2"/>
        <v>1521</v>
      </c>
    </row>
    <row r="12" ht="18" customHeight="1" spans="1:12">
      <c r="A12" s="3">
        <v>10</v>
      </c>
      <c r="B12" s="3" t="s">
        <v>353</v>
      </c>
      <c r="C12" s="5">
        <v>382</v>
      </c>
      <c r="D12" s="5">
        <v>362</v>
      </c>
      <c r="E12" s="5">
        <v>362</v>
      </c>
      <c r="F12" s="5">
        <v>3</v>
      </c>
      <c r="G12" s="3">
        <f t="shared" si="0"/>
        <v>1086</v>
      </c>
      <c r="H12" s="3" t="s">
        <v>48</v>
      </c>
      <c r="I12" s="3">
        <v>10</v>
      </c>
      <c r="J12" s="3">
        <v>30</v>
      </c>
      <c r="K12" s="3">
        <f t="shared" si="1"/>
        <v>300</v>
      </c>
      <c r="L12" s="11">
        <f t="shared" si="2"/>
        <v>1386</v>
      </c>
    </row>
    <row r="13" ht="18" customHeight="1" spans="1:12">
      <c r="A13" s="3">
        <v>11</v>
      </c>
      <c r="B13" s="3" t="s">
        <v>354</v>
      </c>
      <c r="C13" s="5">
        <v>581</v>
      </c>
      <c r="D13" s="5">
        <v>576</v>
      </c>
      <c r="E13" s="5">
        <v>576</v>
      </c>
      <c r="F13" s="5">
        <v>3</v>
      </c>
      <c r="G13" s="3">
        <f t="shared" si="0"/>
        <v>1728</v>
      </c>
      <c r="H13" s="3" t="s">
        <v>50</v>
      </c>
      <c r="I13" s="3">
        <v>8</v>
      </c>
      <c r="J13" s="3">
        <v>33</v>
      </c>
      <c r="K13" s="3">
        <f t="shared" si="1"/>
        <v>264</v>
      </c>
      <c r="L13" s="11">
        <f t="shared" si="2"/>
        <v>1992</v>
      </c>
    </row>
    <row r="14" ht="18" customHeight="1" spans="1:12">
      <c r="A14" s="3">
        <v>12</v>
      </c>
      <c r="B14" s="3" t="s">
        <v>355</v>
      </c>
      <c r="C14" s="5">
        <v>653</v>
      </c>
      <c r="D14" s="5">
        <v>657</v>
      </c>
      <c r="E14" s="5">
        <v>657</v>
      </c>
      <c r="F14" s="5">
        <v>3</v>
      </c>
      <c r="G14" s="3">
        <f t="shared" si="0"/>
        <v>1971</v>
      </c>
      <c r="H14" s="3" t="s">
        <v>52</v>
      </c>
      <c r="I14" s="3">
        <v>6</v>
      </c>
      <c r="J14" s="3">
        <v>36</v>
      </c>
      <c r="K14" s="3">
        <f t="shared" si="1"/>
        <v>216</v>
      </c>
      <c r="L14" s="11">
        <f t="shared" si="2"/>
        <v>2187</v>
      </c>
    </row>
    <row r="15" ht="18" customHeight="1" spans="1:12">
      <c r="A15" s="3">
        <v>13</v>
      </c>
      <c r="B15" s="3" t="s">
        <v>356</v>
      </c>
      <c r="C15" s="5">
        <v>676</v>
      </c>
      <c r="D15" s="5">
        <v>646</v>
      </c>
      <c r="E15" s="5">
        <v>646</v>
      </c>
      <c r="F15" s="5">
        <v>3</v>
      </c>
      <c r="G15" s="3">
        <f t="shared" si="0"/>
        <v>1938</v>
      </c>
      <c r="H15" s="3" t="s">
        <v>54</v>
      </c>
      <c r="I15" s="3">
        <v>7</v>
      </c>
      <c r="J15" s="3">
        <v>39</v>
      </c>
      <c r="K15" s="3">
        <f t="shared" si="1"/>
        <v>273</v>
      </c>
      <c r="L15" s="11">
        <f t="shared" si="2"/>
        <v>2211</v>
      </c>
    </row>
    <row r="16" ht="18" customHeight="1" spans="1:12">
      <c r="A16" s="3">
        <v>14</v>
      </c>
      <c r="B16" s="3" t="s">
        <v>357</v>
      </c>
      <c r="C16" s="5">
        <v>606</v>
      </c>
      <c r="D16" s="5">
        <v>563</v>
      </c>
      <c r="E16" s="5">
        <v>563</v>
      </c>
      <c r="F16" s="5">
        <v>3</v>
      </c>
      <c r="G16" s="3">
        <f t="shared" si="0"/>
        <v>1689</v>
      </c>
      <c r="H16" s="3" t="s">
        <v>56</v>
      </c>
      <c r="I16" s="3">
        <v>2</v>
      </c>
      <c r="J16" s="3">
        <v>42</v>
      </c>
      <c r="K16" s="3">
        <f t="shared" si="1"/>
        <v>84</v>
      </c>
      <c r="L16" s="11">
        <f t="shared" si="2"/>
        <v>1773</v>
      </c>
    </row>
    <row r="17" ht="18" customHeight="1" spans="1:12">
      <c r="A17" s="3">
        <v>15</v>
      </c>
      <c r="B17" s="3" t="s">
        <v>358</v>
      </c>
      <c r="C17" s="5">
        <v>540</v>
      </c>
      <c r="D17" s="5">
        <v>670</v>
      </c>
      <c r="E17" s="5">
        <v>670</v>
      </c>
      <c r="F17" s="5">
        <v>3</v>
      </c>
      <c r="G17" s="3">
        <f t="shared" si="0"/>
        <v>2010</v>
      </c>
      <c r="H17" s="3" t="s">
        <v>58</v>
      </c>
      <c r="I17" s="3">
        <v>2</v>
      </c>
      <c r="J17" s="3">
        <v>45</v>
      </c>
      <c r="K17" s="3">
        <f t="shared" si="1"/>
        <v>90</v>
      </c>
      <c r="L17" s="11">
        <f t="shared" si="2"/>
        <v>2100</v>
      </c>
    </row>
    <row r="18" ht="18" customHeight="1" spans="1:12">
      <c r="A18" s="3">
        <v>16</v>
      </c>
      <c r="B18" s="3" t="s">
        <v>359</v>
      </c>
      <c r="C18" s="5">
        <v>376</v>
      </c>
      <c r="D18" s="5">
        <v>412</v>
      </c>
      <c r="E18" s="5">
        <v>412</v>
      </c>
      <c r="F18" s="5">
        <v>3</v>
      </c>
      <c r="G18" s="3">
        <f t="shared" si="0"/>
        <v>1236</v>
      </c>
      <c r="H18" s="3" t="s">
        <v>60</v>
      </c>
      <c r="I18" s="3">
        <v>1</v>
      </c>
      <c r="J18" s="3">
        <v>48</v>
      </c>
      <c r="K18" s="3">
        <f t="shared" si="1"/>
        <v>48</v>
      </c>
      <c r="L18" s="11">
        <f t="shared" si="2"/>
        <v>1284</v>
      </c>
    </row>
    <row r="19" ht="18" customHeight="1" spans="1:12">
      <c r="A19" s="3">
        <v>17</v>
      </c>
      <c r="B19" s="3" t="s">
        <v>360</v>
      </c>
      <c r="C19" s="5">
        <v>392</v>
      </c>
      <c r="D19" s="5">
        <v>380</v>
      </c>
      <c r="E19" s="5">
        <v>380</v>
      </c>
      <c r="F19" s="5">
        <v>3</v>
      </c>
      <c r="G19" s="3">
        <f t="shared" si="0"/>
        <v>1140</v>
      </c>
      <c r="H19" s="3" t="s">
        <v>62</v>
      </c>
      <c r="I19" s="3">
        <v>4</v>
      </c>
      <c r="J19" s="3">
        <v>51</v>
      </c>
      <c r="K19" s="3">
        <f t="shared" si="1"/>
        <v>204</v>
      </c>
      <c r="L19" s="11">
        <f t="shared" si="2"/>
        <v>1344</v>
      </c>
    </row>
    <row r="20" ht="18" customHeight="1" spans="1:12">
      <c r="A20" s="3">
        <v>18</v>
      </c>
      <c r="B20" s="3" t="s">
        <v>361</v>
      </c>
      <c r="C20" s="5">
        <v>748</v>
      </c>
      <c r="D20" s="5">
        <v>747</v>
      </c>
      <c r="E20" s="5">
        <v>747</v>
      </c>
      <c r="F20" s="5">
        <v>3</v>
      </c>
      <c r="G20" s="3">
        <f t="shared" si="0"/>
        <v>2241</v>
      </c>
      <c r="H20" s="3" t="s">
        <v>64</v>
      </c>
      <c r="I20" s="3">
        <v>2</v>
      </c>
      <c r="J20" s="3">
        <v>54</v>
      </c>
      <c r="K20" s="3">
        <f t="shared" si="1"/>
        <v>108</v>
      </c>
      <c r="L20" s="11">
        <f t="shared" si="2"/>
        <v>2349</v>
      </c>
    </row>
    <row r="21" ht="18" customHeight="1" spans="1:12">
      <c r="A21" s="3">
        <v>19</v>
      </c>
      <c r="B21" s="3" t="s">
        <v>362</v>
      </c>
      <c r="C21" s="5">
        <v>729</v>
      </c>
      <c r="D21" s="5">
        <v>726</v>
      </c>
      <c r="E21" s="5">
        <v>726</v>
      </c>
      <c r="F21" s="5">
        <v>3</v>
      </c>
      <c r="G21" s="3">
        <f t="shared" si="0"/>
        <v>2178</v>
      </c>
      <c r="H21" s="3" t="s">
        <v>66</v>
      </c>
      <c r="I21" s="3">
        <v>2</v>
      </c>
      <c r="J21" s="3">
        <v>57</v>
      </c>
      <c r="K21" s="3">
        <f t="shared" si="1"/>
        <v>114</v>
      </c>
      <c r="L21" s="11">
        <f t="shared" si="2"/>
        <v>2292</v>
      </c>
    </row>
    <row r="22" ht="18" customHeight="1" spans="1:12">
      <c r="A22" s="3">
        <v>20</v>
      </c>
      <c r="B22" s="3" t="s">
        <v>363</v>
      </c>
      <c r="C22" s="5">
        <v>751</v>
      </c>
      <c r="D22" s="5">
        <v>736</v>
      </c>
      <c r="E22" s="5">
        <v>736</v>
      </c>
      <c r="F22" s="5">
        <v>3</v>
      </c>
      <c r="G22" s="3">
        <f t="shared" si="0"/>
        <v>2208</v>
      </c>
      <c r="H22" s="3" t="s">
        <v>68</v>
      </c>
      <c r="I22" s="3">
        <v>2</v>
      </c>
      <c r="J22" s="3">
        <v>60</v>
      </c>
      <c r="K22" s="3">
        <f t="shared" si="1"/>
        <v>120</v>
      </c>
      <c r="L22" s="11">
        <f t="shared" si="2"/>
        <v>2328</v>
      </c>
    </row>
    <row r="23" ht="18" customHeight="1" spans="1:12">
      <c r="A23" s="3">
        <v>21</v>
      </c>
      <c r="B23" s="3" t="s">
        <v>364</v>
      </c>
      <c r="C23" s="5">
        <v>707</v>
      </c>
      <c r="D23" s="5">
        <v>718</v>
      </c>
      <c r="E23" s="5">
        <v>718</v>
      </c>
      <c r="F23" s="5">
        <v>3</v>
      </c>
      <c r="G23" s="3">
        <f t="shared" si="0"/>
        <v>2154</v>
      </c>
      <c r="H23" s="3" t="s">
        <v>70</v>
      </c>
      <c r="I23" s="3">
        <v>0</v>
      </c>
      <c r="J23" s="3">
        <v>63</v>
      </c>
      <c r="K23" s="3">
        <f t="shared" si="1"/>
        <v>0</v>
      </c>
      <c r="L23" s="11">
        <f t="shared" si="2"/>
        <v>2154</v>
      </c>
    </row>
    <row r="24" ht="18" customHeight="1" spans="1:12">
      <c r="A24" s="3">
        <v>22</v>
      </c>
      <c r="B24" s="3" t="s">
        <v>365</v>
      </c>
      <c r="C24" s="5">
        <v>730</v>
      </c>
      <c r="D24" s="5">
        <v>747</v>
      </c>
      <c r="E24" s="5">
        <v>747</v>
      </c>
      <c r="F24" s="5">
        <v>3</v>
      </c>
      <c r="G24" s="3">
        <f t="shared" si="0"/>
        <v>2241</v>
      </c>
      <c r="H24" s="3" t="s">
        <v>72</v>
      </c>
      <c r="I24" s="3">
        <v>1</v>
      </c>
      <c r="J24" s="3">
        <v>66</v>
      </c>
      <c r="K24" s="3">
        <f t="shared" si="1"/>
        <v>66</v>
      </c>
      <c r="L24" s="11">
        <f t="shared" si="2"/>
        <v>2307</v>
      </c>
    </row>
    <row r="25" ht="18" customHeight="1" spans="1:12">
      <c r="A25" s="3">
        <v>23</v>
      </c>
      <c r="B25" s="3" t="s">
        <v>366</v>
      </c>
      <c r="C25" s="5">
        <v>373</v>
      </c>
      <c r="D25" s="5">
        <v>412</v>
      </c>
      <c r="E25" s="5">
        <v>412</v>
      </c>
      <c r="F25" s="5">
        <v>3</v>
      </c>
      <c r="G25" s="3">
        <f t="shared" si="0"/>
        <v>1236</v>
      </c>
      <c r="H25" s="3" t="s">
        <v>74</v>
      </c>
      <c r="I25" s="3">
        <v>1</v>
      </c>
      <c r="J25" s="3">
        <v>69</v>
      </c>
      <c r="K25" s="3">
        <f t="shared" si="1"/>
        <v>69</v>
      </c>
      <c r="L25" s="11">
        <f t="shared" si="2"/>
        <v>1305</v>
      </c>
    </row>
    <row r="26" ht="18" customHeight="1" spans="1:12">
      <c r="A26" s="3">
        <v>24</v>
      </c>
      <c r="B26" s="3" t="s">
        <v>367</v>
      </c>
      <c r="C26" s="5">
        <v>397</v>
      </c>
      <c r="D26" s="5">
        <v>371</v>
      </c>
      <c r="E26" s="5">
        <v>371</v>
      </c>
      <c r="F26" s="5">
        <v>3</v>
      </c>
      <c r="G26" s="3">
        <f t="shared" si="0"/>
        <v>1113</v>
      </c>
      <c r="H26" s="3" t="s">
        <v>76</v>
      </c>
      <c r="I26" s="3">
        <v>1</v>
      </c>
      <c r="J26" s="3">
        <v>72</v>
      </c>
      <c r="K26" s="3">
        <f t="shared" si="1"/>
        <v>72</v>
      </c>
      <c r="L26" s="11">
        <f t="shared" si="2"/>
        <v>1185</v>
      </c>
    </row>
    <row r="27" ht="18" customHeight="1" spans="1:12">
      <c r="A27" s="3">
        <v>25</v>
      </c>
      <c r="B27" s="3" t="s">
        <v>368</v>
      </c>
      <c r="C27" s="5">
        <v>760</v>
      </c>
      <c r="D27" s="5">
        <v>744</v>
      </c>
      <c r="E27" s="5">
        <v>744</v>
      </c>
      <c r="F27" s="5">
        <v>3</v>
      </c>
      <c r="G27" s="3">
        <f t="shared" si="0"/>
        <v>2232</v>
      </c>
      <c r="H27" s="3" t="s">
        <v>78</v>
      </c>
      <c r="I27" s="3">
        <v>0</v>
      </c>
      <c r="J27" s="3">
        <v>75</v>
      </c>
      <c r="K27" s="3">
        <f t="shared" si="1"/>
        <v>0</v>
      </c>
      <c r="L27" s="11">
        <f t="shared" si="2"/>
        <v>2232</v>
      </c>
    </row>
    <row r="28" ht="18" customHeight="1" spans="1:12">
      <c r="A28" s="3">
        <v>26</v>
      </c>
      <c r="B28" s="3" t="s">
        <v>369</v>
      </c>
      <c r="C28" s="5">
        <v>734</v>
      </c>
      <c r="D28" s="5">
        <v>731</v>
      </c>
      <c r="E28" s="5">
        <v>731</v>
      </c>
      <c r="F28" s="5">
        <v>3</v>
      </c>
      <c r="G28" s="3">
        <f t="shared" si="0"/>
        <v>2193</v>
      </c>
      <c r="H28" s="3" t="s">
        <v>80</v>
      </c>
      <c r="I28" s="3">
        <v>0</v>
      </c>
      <c r="J28" s="3">
        <v>78</v>
      </c>
      <c r="K28" s="3">
        <f t="shared" si="1"/>
        <v>0</v>
      </c>
      <c r="L28" s="11">
        <f t="shared" si="2"/>
        <v>2193</v>
      </c>
    </row>
    <row r="29" ht="18" customHeight="1" spans="1:12">
      <c r="A29" s="3">
        <v>27</v>
      </c>
      <c r="B29" s="3" t="s">
        <v>370</v>
      </c>
      <c r="C29" s="5">
        <v>777</v>
      </c>
      <c r="D29" s="5">
        <v>794</v>
      </c>
      <c r="E29" s="5">
        <v>794</v>
      </c>
      <c r="F29" s="5">
        <v>3</v>
      </c>
      <c r="G29" s="3">
        <f t="shared" si="0"/>
        <v>2382</v>
      </c>
      <c r="H29" s="3" t="s">
        <v>82</v>
      </c>
      <c r="I29" s="3">
        <v>1</v>
      </c>
      <c r="J29" s="3">
        <v>81</v>
      </c>
      <c r="K29" s="3">
        <f t="shared" si="1"/>
        <v>81</v>
      </c>
      <c r="L29" s="11">
        <f t="shared" si="2"/>
        <v>2463</v>
      </c>
    </row>
    <row r="30" ht="18" customHeight="1" spans="1:12">
      <c r="A30" s="3">
        <v>28</v>
      </c>
      <c r="B30" s="3" t="s">
        <v>371</v>
      </c>
      <c r="C30" s="5">
        <v>774</v>
      </c>
      <c r="D30" s="5">
        <v>765</v>
      </c>
      <c r="E30" s="5">
        <v>765</v>
      </c>
      <c r="F30" s="5">
        <v>3</v>
      </c>
      <c r="G30" s="3">
        <f t="shared" si="0"/>
        <v>2295</v>
      </c>
      <c r="H30" s="3" t="s">
        <v>84</v>
      </c>
      <c r="I30" s="3">
        <v>0</v>
      </c>
      <c r="J30" s="3">
        <v>84</v>
      </c>
      <c r="K30" s="3">
        <f t="shared" si="1"/>
        <v>0</v>
      </c>
      <c r="L30" s="11">
        <f t="shared" si="2"/>
        <v>2295</v>
      </c>
    </row>
    <row r="31" ht="18" customHeight="1" spans="1:12">
      <c r="A31" s="3">
        <v>29</v>
      </c>
      <c r="B31" s="3" t="s">
        <v>372</v>
      </c>
      <c r="C31" s="5">
        <v>763</v>
      </c>
      <c r="D31" s="5">
        <v>780</v>
      </c>
      <c r="E31" s="5">
        <v>780</v>
      </c>
      <c r="F31" s="5">
        <v>3</v>
      </c>
      <c r="G31" s="3">
        <f t="shared" si="0"/>
        <v>2340</v>
      </c>
      <c r="H31" s="3" t="s">
        <v>86</v>
      </c>
      <c r="I31" s="3">
        <v>0</v>
      </c>
      <c r="J31" s="3">
        <v>87</v>
      </c>
      <c r="K31" s="3">
        <f t="shared" si="1"/>
        <v>0</v>
      </c>
      <c r="L31" s="11">
        <f t="shared" si="2"/>
        <v>2340</v>
      </c>
    </row>
    <row r="32" ht="18" customHeight="1" spans="1:12">
      <c r="A32" s="3">
        <v>30</v>
      </c>
      <c r="B32" s="3" t="s">
        <v>373</v>
      </c>
      <c r="C32" s="5">
        <v>357</v>
      </c>
      <c r="D32" s="5">
        <v>418</v>
      </c>
      <c r="E32" s="5">
        <v>418</v>
      </c>
      <c r="F32" s="5">
        <v>3</v>
      </c>
      <c r="G32" s="3">
        <f t="shared" si="0"/>
        <v>1254</v>
      </c>
      <c r="H32" s="3" t="s">
        <v>88</v>
      </c>
      <c r="I32" s="3">
        <v>0</v>
      </c>
      <c r="J32" s="3">
        <v>90</v>
      </c>
      <c r="K32" s="3">
        <f t="shared" si="1"/>
        <v>0</v>
      </c>
      <c r="L32" s="11">
        <f t="shared" si="2"/>
        <v>1254</v>
      </c>
    </row>
    <row r="33" ht="18" customHeight="1" spans="1:12">
      <c r="A33" s="5">
        <v>31</v>
      </c>
      <c r="B33" s="3" t="s">
        <v>374</v>
      </c>
      <c r="C33" s="5">
        <v>309</v>
      </c>
      <c r="D33" s="5">
        <v>332</v>
      </c>
      <c r="E33" s="5">
        <v>332</v>
      </c>
      <c r="F33" s="5">
        <v>3</v>
      </c>
      <c r="G33" s="3">
        <f t="shared" si="0"/>
        <v>996</v>
      </c>
      <c r="H33" s="3" t="s">
        <v>90</v>
      </c>
      <c r="I33" s="3">
        <v>0</v>
      </c>
      <c r="J33" s="3">
        <v>93</v>
      </c>
      <c r="K33" s="3">
        <f t="shared" si="1"/>
        <v>0</v>
      </c>
      <c r="L33" s="11">
        <f t="shared" si="2"/>
        <v>996</v>
      </c>
    </row>
    <row r="34" ht="18" customHeight="1" spans="1:12">
      <c r="A34" s="5" t="s">
        <v>23</v>
      </c>
      <c r="B34" s="6"/>
      <c r="C34" s="5">
        <v>18489</v>
      </c>
      <c r="D34" s="5">
        <v>18728</v>
      </c>
      <c r="E34" s="5">
        <v>18728</v>
      </c>
      <c r="F34" s="5">
        <v>3</v>
      </c>
      <c r="G34" s="3">
        <f t="shared" si="0"/>
        <v>56184</v>
      </c>
      <c r="H34" s="7"/>
      <c r="I34" s="12"/>
      <c r="J34" s="13"/>
      <c r="K34" s="3">
        <v>13959</v>
      </c>
      <c r="L34" s="11">
        <v>70143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2023年1月份</vt:lpstr>
      <vt:lpstr>2023年2月份</vt:lpstr>
      <vt:lpstr>2023年3月份</vt:lpstr>
      <vt:lpstr>2023年4月份</vt:lpstr>
      <vt:lpstr>2023年5月份</vt:lpstr>
      <vt:lpstr>2023年6月份</vt:lpstr>
      <vt:lpstr>2023年7月份</vt:lpstr>
      <vt:lpstr>2023年8月份</vt:lpstr>
      <vt:lpstr>2023年9月份</vt:lpstr>
      <vt:lpstr>2023年10月份</vt:lpstr>
      <vt:lpstr>2023年11月份</vt:lpstr>
      <vt:lpstr>2023年12月份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2025-08-20T08:07:55Z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