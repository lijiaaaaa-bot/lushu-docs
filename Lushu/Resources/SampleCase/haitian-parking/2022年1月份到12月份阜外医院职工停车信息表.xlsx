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文件\职工结算收费明细\"/>
    </mc:Choice>
  </mc:AlternateContent>
  <bookViews>
    <workbookView windowWidth="27945" windowHeight="11925" firstSheet="3" activeTab="11"/>
  </bookViews>
  <sheets>
    <sheet name="汇总" sheetId="1" r:id="rId1"/>
    <sheet name="2022年2月份" sheetId="2" r:id="rId2"/>
    <sheet name="2022年3月份" sheetId="3" r:id="rId3"/>
    <sheet name="2022年4月份" sheetId="4" r:id="rId4"/>
    <sheet name="2022年5月份" sheetId="5" r:id="rId5"/>
    <sheet name="2022年6月份" sheetId="6" r:id="rId6"/>
    <sheet name="2022年7月份" sheetId="7" r:id="rId7"/>
    <sheet name="2022年8月份" sheetId="8" r:id="rId8"/>
    <sheet name="2022年9月份" sheetId="9" r:id="rId9"/>
    <sheet name="2022年10月份" sheetId="10" r:id="rId10"/>
    <sheet name="2022年11月份" sheetId="11" r:id="rId11"/>
    <sheet name="2022年12月份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<sst xmlns="http://schemas.openxmlformats.org/spreadsheetml/2006/main" count="155" uniqueCount="64">
  <si>
    <t>阜外华中心血管病医院职工</t>
  </si>
  <si>
    <t>2023年汇总</t>
  </si>
  <si>
    <t>2022年度地下停车场停车收费明细</t>
  </si>
  <si>
    <t>序号</t>
  </si>
  <si>
    <t>月份</t>
  </si>
  <si>
    <t>金额</t>
  </si>
  <si>
    <t>电费金额</t>
  </si>
  <si>
    <t>管理费金额（年）</t>
  </si>
  <si>
    <t>汇总</t>
  </si>
  <si>
    <t>2022年第一季度小计</t>
  </si>
  <si>
    <t>2022年第二季度小计</t>
  </si>
  <si>
    <t>2022年第三季度小计</t>
  </si>
  <si>
    <t>2022年第四季度小计</t>
  </si>
  <si>
    <t>2022年度合计</t>
  </si>
  <si>
    <t>2022年阜外华中心血管病医院职工2月份地下停车场停车记录</t>
  </si>
  <si>
    <t>日期</t>
  </si>
  <si>
    <t>进场车单次</t>
  </si>
  <si>
    <t>出场车单次</t>
  </si>
  <si>
    <t>计费车次</t>
  </si>
  <si>
    <t>停留车辆</t>
  </si>
  <si>
    <t>费用（3元/天）</t>
  </si>
  <si>
    <t>总计（元）</t>
  </si>
  <si>
    <t>共计</t>
  </si>
  <si>
    <t>2022年阜外华中心血管病医院职工3月份地下停车场停车记录</t>
  </si>
  <si>
    <t>2022年阜外华中心血管病医院职工4月份地下停车场停车记录</t>
  </si>
  <si>
    <t>2022年阜外华中心血管病医院职工5月份地下停车场停车记录</t>
  </si>
  <si>
    <t>2022年阜外华中心血管病医院职工6月份地下停车场停车记录</t>
  </si>
  <si>
    <t>2022年阜外华中心血管病医院职工7月份地下停车场停车记录</t>
  </si>
  <si>
    <t>2022年阜外华中心血管病医院职工8月份地下停车场停车记录</t>
  </si>
  <si>
    <t>2022年阜外华中心血管病医院职工9月份地下停车场停车记录</t>
  </si>
  <si>
    <t>2022年阜外华中心血管病医院职工10月份地下停车场停车记录</t>
  </si>
  <si>
    <t>2022年阜外华中心血管病医院职工11月份地下停车场停车记录</t>
  </si>
  <si>
    <t>2022年阜外华中心血管病医院职工12月份地下停车场停车记录</t>
  </si>
  <si>
    <t>2022.12.1</t>
  </si>
  <si>
    <t>2022.12.2</t>
  </si>
  <si>
    <t>2022.12.3</t>
  </si>
  <si>
    <t>2022.12.4</t>
  </si>
  <si>
    <t>2022.12.5</t>
  </si>
  <si>
    <t>2022.12.6</t>
  </si>
  <si>
    <t>2022.12.7</t>
  </si>
  <si>
    <t>2022.12.8</t>
  </si>
  <si>
    <t>2022.12.9</t>
  </si>
  <si>
    <t>2022.12.10</t>
  </si>
  <si>
    <t>2022.12.11</t>
  </si>
  <si>
    <t>2022.12.12</t>
  </si>
  <si>
    <t>2022.12.13</t>
  </si>
  <si>
    <t>2022.12.14</t>
  </si>
  <si>
    <t>2022.12.15</t>
  </si>
  <si>
    <t>2022.12.16</t>
  </si>
  <si>
    <t>2022.12.17</t>
  </si>
  <si>
    <t>2022.12.18</t>
  </si>
  <si>
    <t>2022.12.19</t>
  </si>
  <si>
    <t>2022.12.20</t>
  </si>
  <si>
    <t>2022.12.21</t>
  </si>
  <si>
    <t>2022.12.22</t>
  </si>
  <si>
    <t>2022.12.23</t>
  </si>
  <si>
    <t>2022.12.24</t>
  </si>
  <si>
    <t>2022.12.25</t>
  </si>
  <si>
    <t>2022.12.26</t>
  </si>
  <si>
    <t>2022.12.27</t>
  </si>
  <si>
    <t>2022.12.28</t>
  </si>
  <si>
    <t>2022.12.29</t>
  </si>
  <si>
    <t>2022.12.30</t>
  </si>
  <si>
    <t>2022.12.31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</si>
</sst>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5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57" fontId="7" fillId="0" borderId="1" xfId="0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57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C\Desktop\&#32844;&#24037;&#36827;&#20986;&#22330;&#32479;&#35745;&#34920;\&#38428;&#22806;&#21326;&#20013;&#24515;&#34880;&#31649;&#30149;&#21307;&#38498;&#32844;&#24037;--&#22320;&#19979;&#20572;&#36710;&#22330;&#20572;&#36710;&#35760;&#24405;2022~2023&#24180;&#24230;&#22320;&#19979;&#20572;&#36710;&#22330;&#20572;&#36710;&#25910;&#36153;&#26126;&#32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2022.2"/>
      <sheetName val="2022.3"/>
      <sheetName val="2022.4"/>
      <sheetName val="2022.5"/>
      <sheetName val="2022.6"/>
      <sheetName val="2022.7"/>
      <sheetName val="2022.8"/>
      <sheetName val="2022.9"/>
      <sheetName val="2022.10"/>
      <sheetName val="2022.11"/>
      <sheetName val="2022.12"/>
      <sheetName val="2023.1"/>
      <sheetName val="2023.2"/>
      <sheetName val="2023.3"/>
      <sheetName val="2023.4"/>
      <sheetName val="2023.5"/>
    </sheetNames>
    <sheetDataSet>
      <sheetData sheetId="0"/>
      <sheetData sheetId="1">
        <row r="34">
          <cell r="H34">
            <v>34395</v>
          </cell>
        </row>
      </sheetData>
      <sheetData sheetId="2">
        <row r="34">
          <cell r="H34">
            <v>70452</v>
          </cell>
        </row>
      </sheetData>
      <sheetData sheetId="3">
        <row r="34">
          <cell r="H34">
            <v>52581</v>
          </cell>
        </row>
      </sheetData>
      <sheetData sheetId="4">
        <row r="34">
          <cell r="H34">
            <v>51153</v>
          </cell>
        </row>
      </sheetData>
      <sheetData sheetId="5"/>
      <sheetData sheetId="6"/>
      <sheetData sheetId="7"/>
      <sheetData sheetId="8"/>
      <sheetData sheetId="9">
        <row r="34">
          <cell r="H34">
            <v>58050</v>
          </cell>
        </row>
      </sheetData>
      <sheetData sheetId="10">
        <row r="34">
          <cell r="H34">
            <v>55608</v>
          </cell>
        </row>
      </sheetData>
      <sheetData sheetId="11">
        <row r="34">
          <cell r="H34">
            <v>52053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H10" sqref="H10"/>
    </sheetView>
  </sheetViews>
  <sheetFormatPr defaultColWidth="9" defaultRowHeight="27" customHeight="1" outlineLevelCol="5"/>
  <cols>
    <col min="1" max="1" width="16" customWidth="1"/>
    <col min="2" max="2" width="29.625" customWidth="1"/>
    <col min="3" max="3" width="32.875" customWidth="1"/>
    <col min="4" max="4" width="31.25" customWidth="1"/>
    <col min="5" max="5" width="29.875" customWidth="1"/>
    <col min="6" max="6" width="29.5" customWidth="1"/>
  </cols>
  <sheetData>
    <row r="1" customHeight="1" spans="1:6">
      <c r="A1" s="14" t="s">
        <v>0</v>
      </c>
      <c r="B1" s="14"/>
      <c r="C1" s="14"/>
      <c r="D1" s="10" t="s">
        <v>1</v>
      </c>
      <c r="E1" s="15"/>
      <c r="F1" s="16"/>
    </row>
    <row r="2" customHeight="1" spans="1:6">
      <c r="A2" s="17" t="s">
        <v>2</v>
      </c>
      <c r="B2" s="17"/>
      <c r="C2" s="17"/>
      <c r="D2" s="18"/>
      <c r="E2" s="19"/>
      <c r="F2" s="20"/>
    </row>
    <row r="3" customHeight="1" spans="1:6">
      <c r="A3" s="13" t="s">
        <v>3</v>
      </c>
      <c r="B3" s="13" t="s">
        <v>4</v>
      </c>
      <c r="C3" s="13" t="s">
        <v>5</v>
      </c>
      <c r="D3" s="5" t="s">
        <v>6</v>
      </c>
      <c r="E3" s="5" t="s">
        <v>7</v>
      </c>
      <c r="F3" s="5" t="s">
        <v>8</v>
      </c>
    </row>
    <row r="4" customHeight="1" spans="1:6">
      <c r="A4" s="21">
        <v>1</v>
      </c>
      <c r="B4" s="22">
        <v>44593</v>
      </c>
      <c r="C4" s="23">
        <f>'[1]2022.2'!H34</f>
        <v>34395</v>
      </c>
      <c r="D4" s="24">
        <v>38955</v>
      </c>
      <c r="E4" s="5">
        <v>266666.67</v>
      </c>
      <c r="F4" s="5">
        <f>C19-D4-D11-E4</f>
        <v>203286.33</v>
      </c>
    </row>
    <row r="5" customHeight="1" spans="1:6">
      <c r="A5" s="21">
        <v>2</v>
      </c>
      <c r="B5" s="22">
        <v>44621</v>
      </c>
      <c r="C5" s="23">
        <f>'[1]2022.3'!H34</f>
        <v>70452</v>
      </c>
      <c r="D5" s="25"/>
      <c r="E5" s="5"/>
      <c r="F5" s="5"/>
    </row>
    <row r="6" customHeight="1" spans="1:6">
      <c r="A6" s="21">
        <v>3</v>
      </c>
      <c r="B6" s="26" t="s">
        <v>9</v>
      </c>
      <c r="C6" s="27">
        <f>SUM(C4:C5)</f>
        <v>104847</v>
      </c>
      <c r="D6" s="25"/>
      <c r="E6" s="5"/>
      <c r="F6" s="5"/>
    </row>
    <row r="7" customHeight="1" spans="1:6">
      <c r="A7" s="21">
        <v>4</v>
      </c>
      <c r="B7" s="22">
        <v>44652</v>
      </c>
      <c r="C7" s="23">
        <f>'[1]2022.4'!H34</f>
        <v>52581</v>
      </c>
      <c r="D7" s="25"/>
      <c r="E7" s="5"/>
      <c r="F7" s="5"/>
    </row>
    <row r="8" customHeight="1" spans="1:6">
      <c r="A8" s="21">
        <v>5</v>
      </c>
      <c r="B8" s="22">
        <v>44682</v>
      </c>
      <c r="C8" s="23">
        <f>'[1]2022.5'!H34</f>
        <v>51153</v>
      </c>
      <c r="D8" s="25"/>
      <c r="E8" s="5"/>
      <c r="F8" s="5"/>
    </row>
    <row r="9" customHeight="1" spans="1:6">
      <c r="A9" s="21">
        <v>6</v>
      </c>
      <c r="B9" s="22">
        <v>44713</v>
      </c>
      <c r="C9" s="23">
        <v>46548</v>
      </c>
      <c r="D9" s="25"/>
      <c r="E9" s="5"/>
      <c r="F9" s="5"/>
    </row>
    <row r="10" customHeight="1" spans="1:6">
      <c r="A10" s="21">
        <v>7</v>
      </c>
      <c r="B10" s="26" t="s">
        <v>10</v>
      </c>
      <c r="C10" s="27">
        <f>SUM(C7:C9)</f>
        <v>150282</v>
      </c>
      <c r="D10" s="28"/>
      <c r="E10" s="5"/>
      <c r="F10" s="5"/>
    </row>
    <row r="11" customHeight="1" spans="1:6">
      <c r="A11" s="21">
        <v>8</v>
      </c>
      <c r="B11" s="22">
        <v>44743</v>
      </c>
      <c r="C11" s="23">
        <v>45966</v>
      </c>
      <c r="D11" s="29">
        <v>53022</v>
      </c>
      <c r="E11" s="5"/>
      <c r="F11" s="5"/>
    </row>
    <row r="12" customHeight="1" spans="1:6">
      <c r="A12" s="21">
        <v>9</v>
      </c>
      <c r="B12" s="22">
        <v>44774</v>
      </c>
      <c r="C12" s="23">
        <v>47802</v>
      </c>
      <c r="D12" s="30"/>
      <c r="E12" s="5"/>
      <c r="F12" s="5"/>
    </row>
    <row r="13" customHeight="1" spans="1:6">
      <c r="A13" s="21">
        <v>10</v>
      </c>
      <c r="B13" s="22">
        <v>44805</v>
      </c>
      <c r="C13" s="23">
        <v>47322</v>
      </c>
      <c r="D13" s="30"/>
      <c r="E13" s="5"/>
      <c r="F13" s="5"/>
    </row>
    <row r="14" customHeight="1" spans="1:6">
      <c r="A14" s="21">
        <v>11</v>
      </c>
      <c r="B14" s="26" t="s">
        <v>11</v>
      </c>
      <c r="C14" s="27">
        <f>SUM(C11:C13)</f>
        <v>141090</v>
      </c>
      <c r="D14" s="30"/>
      <c r="E14" s="5"/>
      <c r="F14" s="5"/>
    </row>
    <row r="15" customHeight="1" spans="1:6">
      <c r="A15" s="21">
        <v>12</v>
      </c>
      <c r="B15" s="22">
        <v>44835</v>
      </c>
      <c r="C15" s="23">
        <f>'[1]2022.10'!H34</f>
        <v>58050</v>
      </c>
      <c r="D15" s="30"/>
      <c r="E15" s="5"/>
      <c r="F15" s="5"/>
    </row>
    <row r="16" customHeight="1" spans="1:6">
      <c r="A16" s="21">
        <v>13</v>
      </c>
      <c r="B16" s="22">
        <v>44866</v>
      </c>
      <c r="C16" s="23">
        <f>'[1]2022.11'!H34</f>
        <v>55608</v>
      </c>
      <c r="D16" s="30"/>
      <c r="E16" s="5"/>
      <c r="F16" s="5"/>
    </row>
    <row r="17" customHeight="1" spans="1:6">
      <c r="A17" s="21">
        <v>14</v>
      </c>
      <c r="B17" s="22">
        <v>44896</v>
      </c>
      <c r="C17" s="23">
        <f>'[1]2022.12'!H34</f>
        <v>52053</v>
      </c>
      <c r="D17" s="30"/>
      <c r="E17" s="5"/>
      <c r="F17" s="5"/>
    </row>
    <row r="18" customHeight="1" spans="1:6">
      <c r="A18" s="21">
        <v>15</v>
      </c>
      <c r="B18" s="26" t="s">
        <v>12</v>
      </c>
      <c r="C18" s="27">
        <f>SUM(C15:C17)</f>
        <v>165711</v>
      </c>
      <c r="D18" s="30"/>
      <c r="E18" s="5"/>
      <c r="F18" s="5"/>
    </row>
    <row r="19" customHeight="1" spans="1:6">
      <c r="A19" s="21">
        <v>16</v>
      </c>
      <c r="B19" s="31" t="s">
        <v>13</v>
      </c>
      <c r="C19" s="32">
        <f>C6+C10+C14+C18</f>
        <v>561930</v>
      </c>
      <c r="D19" s="33"/>
      <c r="E19" s="5"/>
      <c r="F19" s="5"/>
    </row>
  </sheetData>
  <mergeCells count="7">
    <mergeCell ref="A1:C1"/>
    <mergeCell ref="A2:C2"/>
    <mergeCell ref="D4:D10"/>
    <mergeCell ref="D11:D19"/>
    <mergeCell ref="E4:E19"/>
    <mergeCell ref="F4:F19"/>
    <mergeCell ref="D1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H31" sqref="H31"/>
    </sheetView>
  </sheetViews>
  <sheetFormatPr defaultColWidth="9" defaultRowHeight="22" customHeight="1" outlineLevelCol="7"/>
  <cols>
    <col min="1" max="1" width="6.75" customWidth="1"/>
    <col min="2" max="2" width="11.25" customWidth="1"/>
    <col min="3" max="4" width="11.625" customWidth="1"/>
    <col min="5" max="5" width="10" customWidth="1"/>
    <col min="6" max="6" width="10.25" customWidth="1"/>
    <col min="7" max="7" width="15.5" customWidth="1"/>
    <col min="8" max="8" width="12.375" customWidth="1"/>
  </cols>
  <sheetData>
    <row r="1" ht="32" customHeight="1" spans="1:8">
      <c r="A1" s="1" t="s">
        <v>14</v>
      </c>
      <c r="B1" s="1"/>
      <c r="C1" s="1"/>
      <c r="D1" s="1"/>
      <c r="E1" s="1"/>
      <c r="F1" s="1"/>
      <c r="G1" s="1"/>
      <c r="H1" s="1"/>
    </row>
    <row r="2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customHeight="1" spans="1:8">
      <c r="A3" s="2">
        <v>1</v>
      </c>
      <c r="B3" s="4">
        <v>44593</v>
      </c>
      <c r="C3" s="2">
        <v>0</v>
      </c>
      <c r="D3" s="2">
        <v>0</v>
      </c>
      <c r="E3" s="2">
        <v>0</v>
      </c>
      <c r="F3" s="5">
        <v>0</v>
      </c>
      <c r="G3" s="2">
        <v>3</v>
      </c>
      <c r="H3" s="2">
        <f>(E3+F3)*G3</f>
        <v>0</v>
      </c>
    </row>
    <row r="4" customHeight="1" spans="1:8">
      <c r="A4" s="2">
        <v>2</v>
      </c>
      <c r="B4" s="4">
        <v>44594</v>
      </c>
      <c r="C4" s="2">
        <v>0</v>
      </c>
      <c r="D4" s="2">
        <v>0</v>
      </c>
      <c r="E4" s="2">
        <v>0</v>
      </c>
      <c r="F4" s="5">
        <v>0</v>
      </c>
      <c r="G4" s="5">
        <v>3</v>
      </c>
      <c r="H4" s="2">
        <f t="shared" ref="H4:H31" si="0">(E4+F4)*G4</f>
        <v>0</v>
      </c>
    </row>
    <row r="5" customHeight="1" spans="1:8">
      <c r="A5" s="2">
        <v>3</v>
      </c>
      <c r="B5" s="4">
        <v>44595</v>
      </c>
      <c r="C5" s="2">
        <v>0</v>
      </c>
      <c r="D5" s="2">
        <v>0</v>
      </c>
      <c r="E5" s="2">
        <v>0</v>
      </c>
      <c r="F5" s="5">
        <v>0</v>
      </c>
      <c r="G5" s="5">
        <v>3</v>
      </c>
      <c r="H5" s="2">
        <f t="shared" si="0"/>
        <v>0</v>
      </c>
    </row>
    <row r="6" customHeight="1" spans="1:8">
      <c r="A6" s="2">
        <v>4</v>
      </c>
      <c r="B6" s="4">
        <v>44596</v>
      </c>
      <c r="C6" s="2">
        <v>0</v>
      </c>
      <c r="D6" s="2">
        <v>0</v>
      </c>
      <c r="E6" s="2">
        <v>0</v>
      </c>
      <c r="F6" s="5">
        <v>0</v>
      </c>
      <c r="G6" s="5">
        <v>3</v>
      </c>
      <c r="H6" s="2">
        <f t="shared" si="0"/>
        <v>0</v>
      </c>
    </row>
    <row r="7" customHeight="1" spans="1:8">
      <c r="A7" s="2">
        <v>5</v>
      </c>
      <c r="B7" s="4">
        <v>44597</v>
      </c>
      <c r="C7" s="2">
        <v>0</v>
      </c>
      <c r="D7" s="2">
        <v>0</v>
      </c>
      <c r="E7" s="2">
        <v>0</v>
      </c>
      <c r="F7" s="5">
        <v>0</v>
      </c>
      <c r="G7" s="5">
        <v>3</v>
      </c>
      <c r="H7" s="2">
        <f t="shared" si="0"/>
        <v>0</v>
      </c>
    </row>
    <row r="8" customHeight="1" spans="1:8">
      <c r="A8" s="2">
        <v>6</v>
      </c>
      <c r="B8" s="4">
        <v>44598</v>
      </c>
      <c r="C8" s="2">
        <v>0</v>
      </c>
      <c r="D8" s="2">
        <v>0</v>
      </c>
      <c r="E8" s="2">
        <v>0</v>
      </c>
      <c r="F8" s="5">
        <v>0</v>
      </c>
      <c r="G8" s="5">
        <v>3</v>
      </c>
      <c r="H8" s="2">
        <f t="shared" si="0"/>
        <v>0</v>
      </c>
    </row>
    <row r="9" customHeight="1" spans="1:8">
      <c r="A9" s="2">
        <v>7</v>
      </c>
      <c r="B9" s="4">
        <v>44599</v>
      </c>
      <c r="C9" s="2">
        <v>0</v>
      </c>
      <c r="D9" s="2">
        <v>0</v>
      </c>
      <c r="E9" s="2">
        <v>0</v>
      </c>
      <c r="F9" s="5">
        <v>0</v>
      </c>
      <c r="G9" s="5">
        <v>3</v>
      </c>
      <c r="H9" s="2">
        <f t="shared" si="0"/>
        <v>0</v>
      </c>
    </row>
    <row r="10" customHeight="1" spans="1:8">
      <c r="A10" s="2">
        <v>8</v>
      </c>
      <c r="B10" s="12">
        <v>44600</v>
      </c>
      <c r="C10" s="5">
        <v>5</v>
      </c>
      <c r="D10" s="5">
        <v>5</v>
      </c>
      <c r="E10" s="5">
        <v>5</v>
      </c>
      <c r="F10" s="5">
        <v>0</v>
      </c>
      <c r="G10" s="5">
        <v>3</v>
      </c>
      <c r="H10" s="2">
        <f t="shared" si="0"/>
        <v>15</v>
      </c>
    </row>
    <row r="11" customHeight="1" spans="1:8">
      <c r="A11" s="2">
        <v>9</v>
      </c>
      <c r="B11" s="12">
        <v>44601</v>
      </c>
      <c r="C11" s="5">
        <v>53</v>
      </c>
      <c r="D11" s="5">
        <v>36</v>
      </c>
      <c r="E11" s="5">
        <v>53</v>
      </c>
      <c r="F11" s="5">
        <v>0</v>
      </c>
      <c r="G11" s="5">
        <v>3</v>
      </c>
      <c r="H11" s="2">
        <f t="shared" si="0"/>
        <v>159</v>
      </c>
    </row>
    <row r="12" customHeight="1" spans="1:8">
      <c r="A12" s="2">
        <v>10</v>
      </c>
      <c r="B12" s="12">
        <v>44602</v>
      </c>
      <c r="C12" s="5">
        <v>290</v>
      </c>
      <c r="D12" s="5">
        <v>230</v>
      </c>
      <c r="E12" s="5">
        <v>290</v>
      </c>
      <c r="F12" s="5">
        <v>10</v>
      </c>
      <c r="G12" s="5">
        <v>3</v>
      </c>
      <c r="H12" s="2">
        <f t="shared" si="0"/>
        <v>900</v>
      </c>
    </row>
    <row r="13" customHeight="1" spans="1:8">
      <c r="A13" s="2">
        <v>11</v>
      </c>
      <c r="B13" s="12">
        <v>44603</v>
      </c>
      <c r="C13" s="5">
        <v>405</v>
      </c>
      <c r="D13" s="5">
        <v>373</v>
      </c>
      <c r="E13" s="5">
        <v>405</v>
      </c>
      <c r="F13" s="5">
        <v>35</v>
      </c>
      <c r="G13" s="5">
        <v>3</v>
      </c>
      <c r="H13" s="2">
        <f t="shared" si="0"/>
        <v>1320</v>
      </c>
    </row>
    <row r="14" customHeight="1" spans="1:8">
      <c r="A14" s="2">
        <v>12</v>
      </c>
      <c r="B14" s="12">
        <v>44604</v>
      </c>
      <c r="C14" s="5">
        <v>224</v>
      </c>
      <c r="D14" s="5">
        <v>241</v>
      </c>
      <c r="E14" s="5">
        <v>224</v>
      </c>
      <c r="F14" s="5">
        <v>64</v>
      </c>
      <c r="G14" s="5">
        <v>3</v>
      </c>
      <c r="H14" s="2">
        <f t="shared" si="0"/>
        <v>864</v>
      </c>
    </row>
    <row r="15" customHeight="1" spans="1:8">
      <c r="A15" s="2">
        <v>13</v>
      </c>
      <c r="B15" s="12">
        <v>44605</v>
      </c>
      <c r="C15" s="5">
        <v>253</v>
      </c>
      <c r="D15" s="5">
        <v>219</v>
      </c>
      <c r="E15" s="5">
        <v>253</v>
      </c>
      <c r="F15" s="5">
        <v>68</v>
      </c>
      <c r="G15" s="5">
        <v>3</v>
      </c>
      <c r="H15" s="2">
        <f t="shared" si="0"/>
        <v>963</v>
      </c>
    </row>
    <row r="16" customHeight="1" spans="1:8">
      <c r="A16" s="2">
        <v>14</v>
      </c>
      <c r="B16" s="12">
        <v>44606</v>
      </c>
      <c r="C16" s="5">
        <v>476</v>
      </c>
      <c r="D16" s="5">
        <v>469</v>
      </c>
      <c r="E16" s="5">
        <v>476</v>
      </c>
      <c r="F16" s="5">
        <v>97</v>
      </c>
      <c r="G16" s="5">
        <v>3</v>
      </c>
      <c r="H16" s="2">
        <f t="shared" si="0"/>
        <v>1719</v>
      </c>
    </row>
    <row r="17" customHeight="1" spans="1:8">
      <c r="A17" s="2">
        <v>15</v>
      </c>
      <c r="B17" s="12">
        <v>44607</v>
      </c>
      <c r="C17" s="5">
        <v>455</v>
      </c>
      <c r="D17" s="5">
        <v>451</v>
      </c>
      <c r="E17" s="5">
        <v>455</v>
      </c>
      <c r="F17" s="5">
        <v>97</v>
      </c>
      <c r="G17" s="5">
        <v>3</v>
      </c>
      <c r="H17" s="2">
        <f t="shared" si="0"/>
        <v>1656</v>
      </c>
    </row>
    <row r="18" customHeight="1" spans="1:8">
      <c r="A18" s="2">
        <v>16</v>
      </c>
      <c r="B18" s="12">
        <v>44608</v>
      </c>
      <c r="C18" s="5">
        <v>492</v>
      </c>
      <c r="D18" s="5">
        <v>482</v>
      </c>
      <c r="E18" s="5">
        <v>492</v>
      </c>
      <c r="F18" s="5">
        <v>107</v>
      </c>
      <c r="G18" s="5">
        <v>3</v>
      </c>
      <c r="H18" s="2">
        <f t="shared" si="0"/>
        <v>1797</v>
      </c>
    </row>
    <row r="19" customHeight="1" spans="1:8">
      <c r="A19" s="2">
        <v>17</v>
      </c>
      <c r="B19" s="12">
        <v>44609</v>
      </c>
      <c r="C19" s="5">
        <v>485</v>
      </c>
      <c r="D19" s="5">
        <v>445</v>
      </c>
      <c r="E19" s="5">
        <v>485</v>
      </c>
      <c r="F19" s="5">
        <v>117</v>
      </c>
      <c r="G19" s="5">
        <v>3</v>
      </c>
      <c r="H19" s="2">
        <f t="shared" si="0"/>
        <v>1806</v>
      </c>
    </row>
    <row r="20" customHeight="1" spans="1:8">
      <c r="A20" s="2">
        <v>18</v>
      </c>
      <c r="B20" s="12">
        <v>44610</v>
      </c>
      <c r="C20" s="5">
        <v>477</v>
      </c>
      <c r="D20" s="5">
        <v>456</v>
      </c>
      <c r="E20" s="5">
        <v>477</v>
      </c>
      <c r="F20" s="5">
        <v>165</v>
      </c>
      <c r="G20" s="5">
        <v>3</v>
      </c>
      <c r="H20" s="2">
        <f t="shared" si="0"/>
        <v>1926</v>
      </c>
    </row>
    <row r="21" customHeight="1" spans="1:8">
      <c r="A21" s="2">
        <v>19</v>
      </c>
      <c r="B21" s="12">
        <v>44611</v>
      </c>
      <c r="C21" s="5">
        <v>262</v>
      </c>
      <c r="D21" s="5">
        <v>244</v>
      </c>
      <c r="E21" s="5">
        <v>262</v>
      </c>
      <c r="F21" s="5">
        <v>203</v>
      </c>
      <c r="G21" s="5">
        <v>3</v>
      </c>
      <c r="H21" s="2">
        <f t="shared" si="0"/>
        <v>1395</v>
      </c>
    </row>
    <row r="22" customHeight="1" spans="1:8">
      <c r="A22" s="2">
        <v>20</v>
      </c>
      <c r="B22" s="12">
        <v>44612</v>
      </c>
      <c r="C22" s="5">
        <v>249</v>
      </c>
      <c r="D22" s="5">
        <v>188</v>
      </c>
      <c r="E22" s="5">
        <v>249</v>
      </c>
      <c r="F22" s="5">
        <v>285</v>
      </c>
      <c r="G22" s="5">
        <v>3</v>
      </c>
      <c r="H22" s="2">
        <f t="shared" si="0"/>
        <v>1602</v>
      </c>
    </row>
    <row r="23" customHeight="1" spans="1:8">
      <c r="A23" s="2">
        <v>21</v>
      </c>
      <c r="B23" s="12">
        <v>44613</v>
      </c>
      <c r="C23" s="5">
        <v>531</v>
      </c>
      <c r="D23" s="5">
        <v>492</v>
      </c>
      <c r="E23" s="5">
        <v>531</v>
      </c>
      <c r="F23" s="5">
        <v>315</v>
      </c>
      <c r="G23" s="5">
        <v>3</v>
      </c>
      <c r="H23" s="2">
        <f t="shared" si="0"/>
        <v>2538</v>
      </c>
    </row>
    <row r="24" customHeight="1" spans="1:8">
      <c r="A24" s="2">
        <v>22</v>
      </c>
      <c r="B24" s="12">
        <v>44614</v>
      </c>
      <c r="C24" s="5">
        <v>501</v>
      </c>
      <c r="D24" s="5">
        <v>492</v>
      </c>
      <c r="E24" s="5">
        <v>501</v>
      </c>
      <c r="F24" s="5">
        <v>342</v>
      </c>
      <c r="G24" s="5">
        <v>3</v>
      </c>
      <c r="H24" s="2">
        <f t="shared" si="0"/>
        <v>2529</v>
      </c>
    </row>
    <row r="25" customHeight="1" spans="1:8">
      <c r="A25" s="2">
        <v>23</v>
      </c>
      <c r="B25" s="12">
        <v>44615</v>
      </c>
      <c r="C25" s="5">
        <v>493</v>
      </c>
      <c r="D25" s="5">
        <v>506</v>
      </c>
      <c r="E25" s="5">
        <v>493</v>
      </c>
      <c r="F25" s="5">
        <v>348</v>
      </c>
      <c r="G25" s="5">
        <v>3</v>
      </c>
      <c r="H25" s="2">
        <f t="shared" si="0"/>
        <v>2523</v>
      </c>
    </row>
    <row r="26" customHeight="1" spans="1:8">
      <c r="A26" s="2">
        <v>24</v>
      </c>
      <c r="B26" s="12">
        <v>44616</v>
      </c>
      <c r="C26" s="5">
        <v>497</v>
      </c>
      <c r="D26" s="5">
        <v>490</v>
      </c>
      <c r="E26" s="5">
        <v>497</v>
      </c>
      <c r="F26" s="5">
        <v>345</v>
      </c>
      <c r="G26" s="5">
        <v>3</v>
      </c>
      <c r="H26" s="2">
        <f t="shared" si="0"/>
        <v>2526</v>
      </c>
    </row>
    <row r="27" customHeight="1" spans="1:8">
      <c r="A27" s="2">
        <v>25</v>
      </c>
      <c r="B27" s="12">
        <v>44617</v>
      </c>
      <c r="C27" s="5">
        <v>488</v>
      </c>
      <c r="D27" s="5">
        <v>511</v>
      </c>
      <c r="E27" s="5">
        <v>488</v>
      </c>
      <c r="F27" s="5">
        <v>330</v>
      </c>
      <c r="G27" s="5">
        <v>3</v>
      </c>
      <c r="H27" s="2">
        <f t="shared" si="0"/>
        <v>2454</v>
      </c>
    </row>
    <row r="28" customHeight="1" spans="1:8">
      <c r="A28" s="2">
        <v>26</v>
      </c>
      <c r="B28" s="12">
        <v>44618</v>
      </c>
      <c r="C28" s="5">
        <v>255</v>
      </c>
      <c r="D28" s="5">
        <v>277</v>
      </c>
      <c r="E28" s="5">
        <v>255</v>
      </c>
      <c r="F28" s="5">
        <v>320</v>
      </c>
      <c r="G28" s="5">
        <v>3</v>
      </c>
      <c r="H28" s="2">
        <f t="shared" si="0"/>
        <v>1725</v>
      </c>
    </row>
    <row r="29" customHeight="1" spans="1:8">
      <c r="A29" s="2">
        <v>27</v>
      </c>
      <c r="B29" s="12">
        <v>44619</v>
      </c>
      <c r="C29" s="5">
        <v>266</v>
      </c>
      <c r="D29" s="5">
        <v>264</v>
      </c>
      <c r="E29" s="5">
        <v>266</v>
      </c>
      <c r="F29" s="5">
        <v>321</v>
      </c>
      <c r="G29" s="5">
        <v>3</v>
      </c>
      <c r="H29" s="2">
        <f t="shared" si="0"/>
        <v>1761</v>
      </c>
    </row>
    <row r="30" customHeight="1" spans="1:8">
      <c r="A30" s="2">
        <v>28</v>
      </c>
      <c r="B30" s="12">
        <v>44620</v>
      </c>
      <c r="C30" s="5">
        <v>424</v>
      </c>
      <c r="D30" s="5">
        <v>404</v>
      </c>
      <c r="E30" s="5">
        <v>424</v>
      </c>
      <c r="F30" s="5">
        <v>315</v>
      </c>
      <c r="G30" s="5">
        <v>3</v>
      </c>
      <c r="H30" s="2">
        <f t="shared" si="0"/>
        <v>2217</v>
      </c>
    </row>
    <row r="31" customHeight="1" spans="1:8">
      <c r="A31" s="5" t="s">
        <v>22</v>
      </c>
      <c r="B31" s="13"/>
      <c r="C31" s="5">
        <f>SUM(C3:C30)</f>
        <v>7581</v>
      </c>
      <c r="D31" s="5">
        <f>SUM(D3:D30)</f>
        <v>7275</v>
      </c>
      <c r="E31" s="5">
        <f>SUM(E3:E30)</f>
        <v>7581</v>
      </c>
      <c r="F31" s="5">
        <f>SUM(F3:F30)</f>
        <v>3884</v>
      </c>
      <c r="G31" s="5">
        <v>3</v>
      </c>
      <c r="H31" s="2">
        <f t="shared" si="0"/>
        <v>34395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I12" sqref="I12"/>
    </sheetView>
  </sheetViews>
  <sheetFormatPr defaultColWidth="14.625" defaultRowHeight="22" customHeight="1" outlineLevelCol="7"/>
  <cols>
    <col min="1" max="1" width="6.375" customWidth="1"/>
    <col min="2" max="2" width="11.125" customWidth="1"/>
    <col min="3" max="3" width="12.125" customWidth="1"/>
    <col min="4" max="4" width="11.625" customWidth="1"/>
    <col min="5" max="5" width="10.5" customWidth="1"/>
    <col min="6" max="6" width="9.875" customWidth="1"/>
    <col min="7" max="7" width="16" customWidth="1"/>
    <col min="8" max="8" width="11.125" customWidth="1"/>
    <col min="9" max="16384" width="14.625" customWidth="1"/>
  </cols>
  <sheetData>
    <row r="1" ht="39" customHeight="1" spans="1:8">
      <c r="A1" s="1" t="s">
        <v>23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12">
        <v>44621</v>
      </c>
      <c r="C3" s="13">
        <v>503</v>
      </c>
      <c r="D3" s="2">
        <v>469</v>
      </c>
      <c r="E3" s="2">
        <v>469</v>
      </c>
      <c r="F3" s="5">
        <v>345</v>
      </c>
      <c r="G3" s="2">
        <v>3</v>
      </c>
      <c r="H3" s="2">
        <f>(E3+F3)*G3</f>
        <v>2442</v>
      </c>
    </row>
    <row r="4" ht="20" customHeight="1" spans="1:8">
      <c r="A4" s="2">
        <v>2</v>
      </c>
      <c r="B4" s="12">
        <v>44622</v>
      </c>
      <c r="C4" s="13">
        <v>497</v>
      </c>
      <c r="D4" s="2">
        <v>521</v>
      </c>
      <c r="E4" s="2">
        <v>521</v>
      </c>
      <c r="F4" s="5">
        <v>354</v>
      </c>
      <c r="G4" s="5">
        <v>3</v>
      </c>
      <c r="H4" s="2">
        <f t="shared" ref="H4:H34" si="0">(E4+F4)*G4</f>
        <v>2625</v>
      </c>
    </row>
    <row r="5" ht="20" customHeight="1" spans="1:8">
      <c r="A5" s="2">
        <v>3</v>
      </c>
      <c r="B5" s="12">
        <v>44623</v>
      </c>
      <c r="C5" s="13">
        <v>514</v>
      </c>
      <c r="D5" s="2">
        <v>501</v>
      </c>
      <c r="E5" s="2">
        <v>501</v>
      </c>
      <c r="F5" s="5">
        <v>364</v>
      </c>
      <c r="G5" s="5">
        <v>3</v>
      </c>
      <c r="H5" s="2">
        <f t="shared" si="0"/>
        <v>2595</v>
      </c>
    </row>
    <row r="6" ht="20" customHeight="1" spans="1:8">
      <c r="A6" s="2">
        <v>4</v>
      </c>
      <c r="B6" s="12">
        <v>44624</v>
      </c>
      <c r="C6" s="13">
        <v>472</v>
      </c>
      <c r="D6" s="2">
        <v>513</v>
      </c>
      <c r="E6" s="2">
        <v>513</v>
      </c>
      <c r="F6" s="5">
        <v>339</v>
      </c>
      <c r="G6" s="5">
        <v>3</v>
      </c>
      <c r="H6" s="2">
        <f t="shared" si="0"/>
        <v>2556</v>
      </c>
    </row>
    <row r="7" ht="20" customHeight="1" spans="1:8">
      <c r="A7" s="2">
        <v>5</v>
      </c>
      <c r="B7" s="12">
        <v>44625</v>
      </c>
      <c r="C7" s="13">
        <v>254</v>
      </c>
      <c r="D7" s="2">
        <v>281</v>
      </c>
      <c r="E7" s="2">
        <v>281</v>
      </c>
      <c r="F7" s="5">
        <v>316</v>
      </c>
      <c r="G7" s="5">
        <v>3</v>
      </c>
      <c r="H7" s="2">
        <f t="shared" si="0"/>
        <v>1791</v>
      </c>
    </row>
    <row r="8" ht="20" customHeight="1" spans="1:8">
      <c r="A8" s="2">
        <v>6</v>
      </c>
      <c r="B8" s="12">
        <v>44626</v>
      </c>
      <c r="C8" s="13">
        <v>265</v>
      </c>
      <c r="D8" s="5">
        <v>240</v>
      </c>
      <c r="E8" s="5">
        <v>240</v>
      </c>
      <c r="F8" s="5">
        <v>322</v>
      </c>
      <c r="G8" s="5">
        <v>3</v>
      </c>
      <c r="H8" s="2">
        <f t="shared" si="0"/>
        <v>1686</v>
      </c>
    </row>
    <row r="9" ht="20" customHeight="1" spans="1:8">
      <c r="A9" s="2">
        <v>7</v>
      </c>
      <c r="B9" s="12">
        <v>44627</v>
      </c>
      <c r="C9" s="13">
        <v>554</v>
      </c>
      <c r="D9" s="5">
        <v>496</v>
      </c>
      <c r="E9" s="5">
        <v>496</v>
      </c>
      <c r="F9" s="5">
        <v>350</v>
      </c>
      <c r="G9" s="5">
        <v>3</v>
      </c>
      <c r="H9" s="2">
        <f t="shared" si="0"/>
        <v>2538</v>
      </c>
    </row>
    <row r="10" ht="20" customHeight="1" spans="1:8">
      <c r="A10" s="2">
        <v>8</v>
      </c>
      <c r="B10" s="12">
        <v>44628</v>
      </c>
      <c r="C10" s="13">
        <v>480</v>
      </c>
      <c r="D10" s="5">
        <v>485</v>
      </c>
      <c r="E10" s="5">
        <v>485</v>
      </c>
      <c r="F10" s="5">
        <v>381</v>
      </c>
      <c r="G10" s="5">
        <v>3</v>
      </c>
      <c r="H10" s="2">
        <f t="shared" si="0"/>
        <v>2598</v>
      </c>
    </row>
    <row r="11" ht="20" customHeight="1" spans="1:8">
      <c r="A11" s="2">
        <v>9</v>
      </c>
      <c r="B11" s="12">
        <v>44629</v>
      </c>
      <c r="C11" s="13">
        <v>502</v>
      </c>
      <c r="D11" s="5">
        <v>507</v>
      </c>
      <c r="E11" s="5">
        <v>507</v>
      </c>
      <c r="F11" s="5">
        <v>379</v>
      </c>
      <c r="G11" s="5">
        <v>3</v>
      </c>
      <c r="H11" s="2">
        <f t="shared" si="0"/>
        <v>2658</v>
      </c>
    </row>
    <row r="12" ht="20" customHeight="1" spans="1:8">
      <c r="A12" s="2">
        <v>10</v>
      </c>
      <c r="B12" s="12">
        <v>44630</v>
      </c>
      <c r="C12" s="13">
        <v>494</v>
      </c>
      <c r="D12" s="5">
        <v>517</v>
      </c>
      <c r="E12" s="5">
        <v>517</v>
      </c>
      <c r="F12" s="5">
        <v>380</v>
      </c>
      <c r="G12" s="5">
        <v>3</v>
      </c>
      <c r="H12" s="2">
        <f t="shared" si="0"/>
        <v>2691</v>
      </c>
    </row>
    <row r="13" ht="20" customHeight="1" spans="1:8">
      <c r="A13" s="2">
        <v>11</v>
      </c>
      <c r="B13" s="12">
        <v>44631</v>
      </c>
      <c r="C13" s="13">
        <v>503</v>
      </c>
      <c r="D13" s="5">
        <v>522</v>
      </c>
      <c r="E13" s="5">
        <v>522</v>
      </c>
      <c r="F13" s="5">
        <v>355</v>
      </c>
      <c r="G13" s="5">
        <v>3</v>
      </c>
      <c r="H13" s="2">
        <f t="shared" si="0"/>
        <v>2631</v>
      </c>
    </row>
    <row r="14" ht="20" customHeight="1" spans="1:8">
      <c r="A14" s="2">
        <v>12</v>
      </c>
      <c r="B14" s="12">
        <v>44632</v>
      </c>
      <c r="C14" s="13">
        <v>286</v>
      </c>
      <c r="D14" s="5">
        <v>320</v>
      </c>
      <c r="E14" s="5">
        <v>320</v>
      </c>
      <c r="F14" s="5">
        <v>343</v>
      </c>
      <c r="G14" s="5">
        <v>3</v>
      </c>
      <c r="H14" s="2">
        <f t="shared" si="0"/>
        <v>1989</v>
      </c>
    </row>
    <row r="15" ht="20" customHeight="1" spans="1:8">
      <c r="A15" s="2">
        <v>13</v>
      </c>
      <c r="B15" s="12">
        <v>44633</v>
      </c>
      <c r="C15" s="13">
        <v>338</v>
      </c>
      <c r="D15" s="5">
        <v>327</v>
      </c>
      <c r="E15" s="5">
        <v>327</v>
      </c>
      <c r="F15" s="5">
        <v>332</v>
      </c>
      <c r="G15" s="5">
        <v>3</v>
      </c>
      <c r="H15" s="2">
        <f t="shared" si="0"/>
        <v>1977</v>
      </c>
    </row>
    <row r="16" ht="20" customHeight="1" spans="1:8">
      <c r="A16" s="2">
        <v>14</v>
      </c>
      <c r="B16" s="12">
        <v>44634</v>
      </c>
      <c r="C16" s="13">
        <v>531</v>
      </c>
      <c r="D16" s="5">
        <v>501</v>
      </c>
      <c r="E16" s="5">
        <v>501</v>
      </c>
      <c r="F16" s="5">
        <v>347</v>
      </c>
      <c r="G16" s="5">
        <v>3</v>
      </c>
      <c r="H16" s="2">
        <f t="shared" si="0"/>
        <v>2544</v>
      </c>
    </row>
    <row r="17" ht="20" customHeight="1" spans="1:8">
      <c r="A17" s="2">
        <v>15</v>
      </c>
      <c r="B17" s="12">
        <v>44635</v>
      </c>
      <c r="C17" s="13">
        <v>523</v>
      </c>
      <c r="D17" s="5">
        <v>512</v>
      </c>
      <c r="E17" s="5">
        <v>512</v>
      </c>
      <c r="F17" s="5">
        <v>371</v>
      </c>
      <c r="G17" s="5">
        <v>3</v>
      </c>
      <c r="H17" s="2">
        <f t="shared" si="0"/>
        <v>2649</v>
      </c>
    </row>
    <row r="18" ht="20" customHeight="1" spans="1:8">
      <c r="A18" s="2">
        <v>16</v>
      </c>
      <c r="B18" s="12">
        <v>44636</v>
      </c>
      <c r="C18" s="13">
        <v>544</v>
      </c>
      <c r="D18" s="5">
        <v>547</v>
      </c>
      <c r="E18" s="5">
        <v>547</v>
      </c>
      <c r="F18" s="5">
        <v>362</v>
      </c>
      <c r="G18" s="5">
        <v>3</v>
      </c>
      <c r="H18" s="2">
        <f t="shared" si="0"/>
        <v>2727</v>
      </c>
    </row>
    <row r="19" ht="20" customHeight="1" spans="1:8">
      <c r="A19" s="2">
        <v>17</v>
      </c>
      <c r="B19" s="12">
        <v>44637</v>
      </c>
      <c r="C19" s="13">
        <v>545</v>
      </c>
      <c r="D19" s="5">
        <v>537</v>
      </c>
      <c r="E19" s="5">
        <v>537</v>
      </c>
      <c r="F19" s="5">
        <v>364</v>
      </c>
      <c r="G19" s="5">
        <v>3</v>
      </c>
      <c r="H19" s="2">
        <f t="shared" si="0"/>
        <v>2703</v>
      </c>
    </row>
    <row r="20" ht="20" customHeight="1" spans="1:8">
      <c r="A20" s="2">
        <v>18</v>
      </c>
      <c r="B20" s="12">
        <v>44638</v>
      </c>
      <c r="C20" s="13">
        <v>515</v>
      </c>
      <c r="D20" s="5">
        <v>564</v>
      </c>
      <c r="E20" s="5">
        <v>564</v>
      </c>
      <c r="F20" s="5">
        <v>341</v>
      </c>
      <c r="G20" s="5">
        <v>3</v>
      </c>
      <c r="H20" s="2">
        <f t="shared" si="0"/>
        <v>2715</v>
      </c>
    </row>
    <row r="21" ht="20" customHeight="1" spans="1:8">
      <c r="A21" s="2">
        <v>19</v>
      </c>
      <c r="B21" s="12">
        <v>44639</v>
      </c>
      <c r="C21" s="13">
        <v>311</v>
      </c>
      <c r="D21" s="5">
        <v>320</v>
      </c>
      <c r="E21" s="5">
        <v>320</v>
      </c>
      <c r="F21" s="5">
        <v>326</v>
      </c>
      <c r="G21" s="5">
        <v>3</v>
      </c>
      <c r="H21" s="2">
        <f t="shared" si="0"/>
        <v>1938</v>
      </c>
    </row>
    <row r="22" ht="20" customHeight="1" spans="1:8">
      <c r="A22" s="2">
        <v>20</v>
      </c>
      <c r="B22" s="12">
        <v>44640</v>
      </c>
      <c r="C22" s="13">
        <v>310</v>
      </c>
      <c r="D22" s="5">
        <v>304</v>
      </c>
      <c r="E22" s="5">
        <v>304</v>
      </c>
      <c r="F22" s="5">
        <v>334</v>
      </c>
      <c r="G22" s="5">
        <v>3</v>
      </c>
      <c r="H22" s="2">
        <f t="shared" si="0"/>
        <v>1914</v>
      </c>
    </row>
    <row r="23" ht="20" customHeight="1" spans="1:8">
      <c r="A23" s="2">
        <v>21</v>
      </c>
      <c r="B23" s="12">
        <v>44641</v>
      </c>
      <c r="C23" s="13">
        <v>433</v>
      </c>
      <c r="D23" s="5">
        <v>537</v>
      </c>
      <c r="E23" s="5">
        <v>537</v>
      </c>
      <c r="F23" s="5">
        <v>218</v>
      </c>
      <c r="G23" s="5">
        <v>3</v>
      </c>
      <c r="H23" s="2">
        <f t="shared" si="0"/>
        <v>2265</v>
      </c>
    </row>
    <row r="24" ht="20" customHeight="1" spans="1:8">
      <c r="A24" s="2">
        <v>22</v>
      </c>
      <c r="B24" s="12">
        <v>44642</v>
      </c>
      <c r="C24" s="13">
        <v>513</v>
      </c>
      <c r="D24" s="5">
        <v>537</v>
      </c>
      <c r="E24" s="5">
        <v>537</v>
      </c>
      <c r="F24" s="5">
        <v>205</v>
      </c>
      <c r="G24" s="5">
        <v>3</v>
      </c>
      <c r="H24" s="2">
        <f t="shared" si="0"/>
        <v>2226</v>
      </c>
    </row>
    <row r="25" ht="20" customHeight="1" spans="1:8">
      <c r="A25" s="2">
        <v>23</v>
      </c>
      <c r="B25" s="12">
        <v>44643</v>
      </c>
      <c r="C25" s="13">
        <v>549</v>
      </c>
      <c r="D25" s="5">
        <v>532</v>
      </c>
      <c r="E25" s="5">
        <v>532</v>
      </c>
      <c r="F25" s="5">
        <v>202</v>
      </c>
      <c r="G25" s="5">
        <v>3</v>
      </c>
      <c r="H25" s="2">
        <f t="shared" si="0"/>
        <v>2202</v>
      </c>
    </row>
    <row r="26" ht="20" customHeight="1" spans="1:8">
      <c r="A26" s="2">
        <v>24</v>
      </c>
      <c r="B26" s="12">
        <v>44644</v>
      </c>
      <c r="C26" s="13">
        <v>518</v>
      </c>
      <c r="D26" s="5">
        <v>526</v>
      </c>
      <c r="E26" s="5">
        <v>526</v>
      </c>
      <c r="F26" s="5">
        <v>199</v>
      </c>
      <c r="G26" s="5">
        <v>3</v>
      </c>
      <c r="H26" s="2">
        <f t="shared" si="0"/>
        <v>2175</v>
      </c>
    </row>
    <row r="27" ht="20" customHeight="1" spans="1:8">
      <c r="A27" s="2">
        <v>25</v>
      </c>
      <c r="B27" s="12">
        <v>44645</v>
      </c>
      <c r="C27" s="13">
        <v>563</v>
      </c>
      <c r="D27" s="5">
        <v>580</v>
      </c>
      <c r="E27" s="5">
        <v>580</v>
      </c>
      <c r="F27" s="5">
        <v>180</v>
      </c>
      <c r="G27" s="5">
        <v>3</v>
      </c>
      <c r="H27" s="2">
        <f t="shared" si="0"/>
        <v>2280</v>
      </c>
    </row>
    <row r="28" ht="20" customHeight="1" spans="1:8">
      <c r="A28" s="2">
        <v>26</v>
      </c>
      <c r="B28" s="12">
        <v>44646</v>
      </c>
      <c r="C28" s="13">
        <v>367</v>
      </c>
      <c r="D28" s="5">
        <v>428</v>
      </c>
      <c r="E28" s="5">
        <v>428</v>
      </c>
      <c r="F28" s="5">
        <v>161</v>
      </c>
      <c r="G28" s="5">
        <v>3</v>
      </c>
      <c r="H28" s="2">
        <f t="shared" si="0"/>
        <v>1767</v>
      </c>
    </row>
    <row r="29" ht="20" customHeight="1" spans="1:8">
      <c r="A29" s="2">
        <v>27</v>
      </c>
      <c r="B29" s="12">
        <v>44647</v>
      </c>
      <c r="C29" s="13">
        <v>280</v>
      </c>
      <c r="D29" s="5">
        <v>263</v>
      </c>
      <c r="E29" s="5">
        <v>263</v>
      </c>
      <c r="F29" s="5">
        <v>157</v>
      </c>
      <c r="G29" s="5">
        <v>3</v>
      </c>
      <c r="H29" s="2">
        <f t="shared" si="0"/>
        <v>1260</v>
      </c>
    </row>
    <row r="30" ht="20" customHeight="1" spans="1:8">
      <c r="A30" s="2">
        <v>28</v>
      </c>
      <c r="B30" s="12">
        <v>44648</v>
      </c>
      <c r="C30" s="13">
        <v>545</v>
      </c>
      <c r="D30" s="5">
        <v>535</v>
      </c>
      <c r="E30" s="5">
        <v>535</v>
      </c>
      <c r="F30" s="5">
        <v>153</v>
      </c>
      <c r="G30" s="5">
        <v>3</v>
      </c>
      <c r="H30" s="2">
        <f t="shared" si="0"/>
        <v>2064</v>
      </c>
    </row>
    <row r="31" ht="20" customHeight="1" spans="1:8">
      <c r="A31" s="2">
        <v>29</v>
      </c>
      <c r="B31" s="12">
        <v>44649</v>
      </c>
      <c r="C31" s="13">
        <v>516</v>
      </c>
      <c r="D31" s="5">
        <v>498</v>
      </c>
      <c r="E31" s="5">
        <v>498</v>
      </c>
      <c r="F31" s="5">
        <v>179</v>
      </c>
      <c r="G31" s="5">
        <v>3</v>
      </c>
      <c r="H31" s="2">
        <f t="shared" si="0"/>
        <v>2031</v>
      </c>
    </row>
    <row r="32" ht="20" customHeight="1" spans="1:8">
      <c r="A32" s="2">
        <v>30</v>
      </c>
      <c r="B32" s="12">
        <v>44650</v>
      </c>
      <c r="C32" s="13">
        <v>518</v>
      </c>
      <c r="D32" s="5">
        <v>524</v>
      </c>
      <c r="E32" s="5">
        <v>524</v>
      </c>
      <c r="F32" s="5">
        <v>185</v>
      </c>
      <c r="G32" s="5">
        <v>3</v>
      </c>
      <c r="H32" s="2">
        <f t="shared" si="0"/>
        <v>2127</v>
      </c>
    </row>
    <row r="33" ht="20" customHeight="1" spans="1:8">
      <c r="A33" s="2">
        <v>31</v>
      </c>
      <c r="B33" s="12">
        <v>44651</v>
      </c>
      <c r="C33" s="13">
        <v>509</v>
      </c>
      <c r="D33" s="6">
        <v>521</v>
      </c>
      <c r="E33" s="6">
        <v>521</v>
      </c>
      <c r="F33" s="5">
        <v>175</v>
      </c>
      <c r="G33" s="6">
        <v>3</v>
      </c>
      <c r="H33" s="2">
        <f t="shared" si="0"/>
        <v>2088</v>
      </c>
    </row>
    <row r="34" ht="20" customHeight="1" spans="1:8">
      <c r="A34" s="5" t="s">
        <v>22</v>
      </c>
      <c r="B34" s="7"/>
      <c r="C34" s="5">
        <f t="shared" ref="C34:F34" si="1">SUM(C3:C33)</f>
        <v>14252</v>
      </c>
      <c r="D34" s="5">
        <f t="shared" si="1"/>
        <v>14465</v>
      </c>
      <c r="E34" s="5">
        <f t="shared" si="1"/>
        <v>14465</v>
      </c>
      <c r="F34" s="5">
        <f t="shared" si="1"/>
        <v>9019</v>
      </c>
      <c r="G34" s="5">
        <v>3</v>
      </c>
      <c r="H34" s="2">
        <f t="shared" si="0"/>
        <v>70452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J31" sqref="J31"/>
    </sheetView>
  </sheetViews>
  <sheetFormatPr defaultColWidth="14.875" defaultRowHeight="22" customHeight="1" outlineLevelCol="7"/>
  <cols>
    <col min="1" max="1" width="5.875" customWidth="1"/>
    <col min="2" max="2" width="11.25" customWidth="1"/>
    <col min="3" max="3" width="11.5" customWidth="1"/>
    <col min="4" max="4" width="11.75" customWidth="1"/>
    <col min="5" max="5" width="10.25" customWidth="1"/>
    <col min="6" max="6" width="10.875" customWidth="1"/>
    <col min="7" max="7" width="14.875" customWidth="1"/>
    <col min="8" max="8" width="11.5" customWidth="1"/>
    <col min="9" max="16384" width="14.875" customWidth="1"/>
  </cols>
  <sheetData>
    <row r="1" ht="39" customHeight="1" spans="1:8">
      <c r="A1" s="1" t="s">
        <v>24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11">
        <v>44652</v>
      </c>
      <c r="C3" s="5">
        <v>531</v>
      </c>
      <c r="D3" s="2">
        <v>555</v>
      </c>
      <c r="E3" s="2">
        <v>555</v>
      </c>
      <c r="F3" s="5">
        <v>151</v>
      </c>
      <c r="G3" s="2">
        <v>3</v>
      </c>
      <c r="H3" s="2">
        <f>(E3+F3)*G3</f>
        <v>2118</v>
      </c>
    </row>
    <row r="4" ht="20" customHeight="1" spans="1:8">
      <c r="A4" s="2">
        <v>2</v>
      </c>
      <c r="B4" s="11">
        <v>44653</v>
      </c>
      <c r="C4" s="5">
        <v>263</v>
      </c>
      <c r="D4" s="2">
        <v>288</v>
      </c>
      <c r="E4" s="2">
        <v>288</v>
      </c>
      <c r="F4" s="5">
        <v>145</v>
      </c>
      <c r="G4" s="5">
        <v>3</v>
      </c>
      <c r="H4" s="2">
        <f t="shared" ref="H4:H33" si="0">(E4+F4)*G4</f>
        <v>1299</v>
      </c>
    </row>
    <row r="5" ht="20" customHeight="1" spans="1:8">
      <c r="A5" s="2">
        <v>3</v>
      </c>
      <c r="B5" s="11">
        <v>44654</v>
      </c>
      <c r="C5" s="5">
        <v>313</v>
      </c>
      <c r="D5" s="2">
        <v>313</v>
      </c>
      <c r="E5" s="2">
        <v>313</v>
      </c>
      <c r="F5" s="5">
        <v>135</v>
      </c>
      <c r="G5" s="5">
        <v>3</v>
      </c>
      <c r="H5" s="2">
        <f t="shared" si="0"/>
        <v>1344</v>
      </c>
    </row>
    <row r="6" ht="20" customHeight="1" spans="1:8">
      <c r="A6" s="2">
        <v>4</v>
      </c>
      <c r="B6" s="11">
        <v>44655</v>
      </c>
      <c r="C6" s="5">
        <v>518</v>
      </c>
      <c r="D6" s="2">
        <v>500</v>
      </c>
      <c r="E6" s="2">
        <v>500</v>
      </c>
      <c r="F6" s="5">
        <v>139</v>
      </c>
      <c r="G6" s="5">
        <v>3</v>
      </c>
      <c r="H6" s="2">
        <f t="shared" si="0"/>
        <v>1917</v>
      </c>
    </row>
    <row r="7" ht="20" customHeight="1" spans="1:8">
      <c r="A7" s="2">
        <v>5</v>
      </c>
      <c r="B7" s="11">
        <v>44656</v>
      </c>
      <c r="C7" s="5">
        <v>504</v>
      </c>
      <c r="D7" s="2">
        <v>500</v>
      </c>
      <c r="E7" s="2">
        <v>500</v>
      </c>
      <c r="F7" s="5">
        <v>163</v>
      </c>
      <c r="G7" s="5">
        <v>3</v>
      </c>
      <c r="H7" s="2">
        <f t="shared" si="0"/>
        <v>1989</v>
      </c>
    </row>
    <row r="8" ht="20" customHeight="1" spans="1:8">
      <c r="A8" s="2">
        <v>6</v>
      </c>
      <c r="B8" s="11">
        <v>44657</v>
      </c>
      <c r="C8" s="5">
        <v>500</v>
      </c>
      <c r="D8" s="5">
        <v>498</v>
      </c>
      <c r="E8" s="5">
        <v>498</v>
      </c>
      <c r="F8" s="5">
        <v>170</v>
      </c>
      <c r="G8" s="5">
        <v>3</v>
      </c>
      <c r="H8" s="2">
        <f t="shared" si="0"/>
        <v>2004</v>
      </c>
    </row>
    <row r="9" ht="20" customHeight="1" spans="1:8">
      <c r="A9" s="2">
        <v>7</v>
      </c>
      <c r="B9" s="11">
        <v>44658</v>
      </c>
      <c r="C9" s="5">
        <v>514</v>
      </c>
      <c r="D9" s="5">
        <v>513</v>
      </c>
      <c r="E9" s="5">
        <v>513</v>
      </c>
      <c r="F9" s="5">
        <v>169</v>
      </c>
      <c r="G9" s="5">
        <v>3</v>
      </c>
      <c r="H9" s="2">
        <f t="shared" si="0"/>
        <v>2046</v>
      </c>
    </row>
    <row r="10" ht="20" customHeight="1" spans="1:8">
      <c r="A10" s="2">
        <v>8</v>
      </c>
      <c r="B10" s="11">
        <v>44659</v>
      </c>
      <c r="C10" s="5">
        <v>492</v>
      </c>
      <c r="D10" s="5">
        <v>512</v>
      </c>
      <c r="E10" s="5">
        <v>512</v>
      </c>
      <c r="F10" s="5">
        <v>154</v>
      </c>
      <c r="G10" s="5">
        <v>3</v>
      </c>
      <c r="H10" s="2">
        <f t="shared" si="0"/>
        <v>1998</v>
      </c>
    </row>
    <row r="11" ht="20" customHeight="1" spans="1:8">
      <c r="A11" s="2">
        <v>9</v>
      </c>
      <c r="B11" s="11">
        <v>44660</v>
      </c>
      <c r="C11" s="5">
        <v>261</v>
      </c>
      <c r="D11" s="5">
        <v>265</v>
      </c>
      <c r="E11" s="5">
        <v>265</v>
      </c>
      <c r="F11" s="5">
        <v>151</v>
      </c>
      <c r="G11" s="5">
        <v>3</v>
      </c>
      <c r="H11" s="2">
        <f t="shared" si="0"/>
        <v>1248</v>
      </c>
    </row>
    <row r="12" ht="20" customHeight="1" spans="1:8">
      <c r="A12" s="2">
        <v>10</v>
      </c>
      <c r="B12" s="11">
        <v>44661</v>
      </c>
      <c r="C12" s="5">
        <v>232</v>
      </c>
      <c r="D12" s="5">
        <v>231</v>
      </c>
      <c r="E12" s="5">
        <v>231</v>
      </c>
      <c r="F12" s="5">
        <v>148</v>
      </c>
      <c r="G12" s="5">
        <v>3</v>
      </c>
      <c r="H12" s="2">
        <f t="shared" si="0"/>
        <v>1137</v>
      </c>
    </row>
    <row r="13" ht="20" customHeight="1" spans="1:8">
      <c r="A13" s="2">
        <v>11</v>
      </c>
      <c r="B13" s="11">
        <v>44662</v>
      </c>
      <c r="C13" s="5">
        <v>523</v>
      </c>
      <c r="D13" s="5">
        <v>496</v>
      </c>
      <c r="E13" s="5">
        <v>496</v>
      </c>
      <c r="F13" s="5">
        <v>156</v>
      </c>
      <c r="G13" s="5">
        <v>3</v>
      </c>
      <c r="H13" s="2">
        <f t="shared" si="0"/>
        <v>1956</v>
      </c>
    </row>
    <row r="14" ht="20" customHeight="1" spans="1:8">
      <c r="A14" s="2">
        <v>12</v>
      </c>
      <c r="B14" s="11">
        <v>44663</v>
      </c>
      <c r="C14" s="5">
        <v>498</v>
      </c>
      <c r="D14" s="5">
        <v>496</v>
      </c>
      <c r="E14" s="5">
        <v>496</v>
      </c>
      <c r="F14" s="5">
        <v>174</v>
      </c>
      <c r="G14" s="5">
        <v>3</v>
      </c>
      <c r="H14" s="2">
        <f t="shared" si="0"/>
        <v>2010</v>
      </c>
    </row>
    <row r="15" ht="20" customHeight="1" spans="1:8">
      <c r="A15" s="2">
        <v>13</v>
      </c>
      <c r="B15" s="11">
        <v>44664</v>
      </c>
      <c r="C15" s="5">
        <v>513</v>
      </c>
      <c r="D15" s="5">
        <v>496</v>
      </c>
      <c r="E15" s="5">
        <v>496</v>
      </c>
      <c r="F15" s="5">
        <v>181</v>
      </c>
      <c r="G15" s="5">
        <v>3</v>
      </c>
      <c r="H15" s="2">
        <f t="shared" si="0"/>
        <v>2031</v>
      </c>
    </row>
    <row r="16" ht="20" customHeight="1" spans="1:8">
      <c r="A16" s="2">
        <v>14</v>
      </c>
      <c r="B16" s="11">
        <v>44665</v>
      </c>
      <c r="C16" s="5">
        <v>502</v>
      </c>
      <c r="D16" s="5">
        <v>510</v>
      </c>
      <c r="E16" s="5">
        <v>510</v>
      </c>
      <c r="F16" s="5">
        <v>175</v>
      </c>
      <c r="G16" s="5">
        <v>3</v>
      </c>
      <c r="H16" s="2">
        <f t="shared" si="0"/>
        <v>2055</v>
      </c>
    </row>
    <row r="17" ht="20" customHeight="1" spans="1:8">
      <c r="A17" s="2">
        <v>15</v>
      </c>
      <c r="B17" s="11">
        <v>44666</v>
      </c>
      <c r="C17" s="5">
        <v>472</v>
      </c>
      <c r="D17" s="5">
        <v>523</v>
      </c>
      <c r="E17" s="5">
        <v>523</v>
      </c>
      <c r="F17" s="5">
        <v>143</v>
      </c>
      <c r="G17" s="5">
        <v>3</v>
      </c>
      <c r="H17" s="2">
        <f t="shared" si="0"/>
        <v>1998</v>
      </c>
    </row>
    <row r="18" ht="20" customHeight="1" spans="1:8">
      <c r="A18" s="2">
        <v>16</v>
      </c>
      <c r="B18" s="11">
        <v>44667</v>
      </c>
      <c r="C18" s="5">
        <v>315</v>
      </c>
      <c r="D18" s="5">
        <v>332</v>
      </c>
      <c r="E18" s="5">
        <v>332</v>
      </c>
      <c r="F18" s="5">
        <v>135</v>
      </c>
      <c r="G18" s="5">
        <v>3</v>
      </c>
      <c r="H18" s="2">
        <f t="shared" si="0"/>
        <v>1401</v>
      </c>
    </row>
    <row r="19" ht="20" customHeight="1" spans="1:8">
      <c r="A19" s="2">
        <v>17</v>
      </c>
      <c r="B19" s="11">
        <v>44668</v>
      </c>
      <c r="C19" s="5">
        <v>238</v>
      </c>
      <c r="D19" s="5">
        <v>226</v>
      </c>
      <c r="E19" s="5">
        <v>226</v>
      </c>
      <c r="F19" s="5">
        <v>134</v>
      </c>
      <c r="G19" s="5">
        <v>3</v>
      </c>
      <c r="H19" s="2">
        <f t="shared" si="0"/>
        <v>1080</v>
      </c>
    </row>
    <row r="20" ht="20" customHeight="1" spans="1:8">
      <c r="A20" s="2">
        <v>18</v>
      </c>
      <c r="B20" s="11">
        <v>44669</v>
      </c>
      <c r="C20" s="5">
        <v>507</v>
      </c>
      <c r="D20" s="5">
        <v>485</v>
      </c>
      <c r="E20" s="5">
        <v>485</v>
      </c>
      <c r="F20" s="5">
        <v>156</v>
      </c>
      <c r="G20" s="5">
        <v>3</v>
      </c>
      <c r="H20" s="2">
        <f t="shared" si="0"/>
        <v>1923</v>
      </c>
    </row>
    <row r="21" ht="20" customHeight="1" spans="1:8">
      <c r="A21" s="2">
        <v>19</v>
      </c>
      <c r="B21" s="11">
        <v>44670</v>
      </c>
      <c r="C21" s="5">
        <v>470</v>
      </c>
      <c r="D21" s="5">
        <v>476</v>
      </c>
      <c r="E21" s="5">
        <v>476</v>
      </c>
      <c r="F21" s="5">
        <v>174</v>
      </c>
      <c r="G21" s="5">
        <v>3</v>
      </c>
      <c r="H21" s="2">
        <f t="shared" si="0"/>
        <v>1950</v>
      </c>
    </row>
    <row r="22" ht="20" customHeight="1" spans="1:8">
      <c r="A22" s="2">
        <v>20</v>
      </c>
      <c r="B22" s="11">
        <v>44671</v>
      </c>
      <c r="C22" s="5">
        <v>482</v>
      </c>
      <c r="D22" s="5">
        <v>481</v>
      </c>
      <c r="E22" s="5">
        <v>481</v>
      </c>
      <c r="F22" s="5">
        <v>175</v>
      </c>
      <c r="G22" s="5">
        <v>3</v>
      </c>
      <c r="H22" s="2">
        <f t="shared" si="0"/>
        <v>1968</v>
      </c>
    </row>
    <row r="23" ht="20" customHeight="1" spans="1:8">
      <c r="A23" s="2">
        <v>21</v>
      </c>
      <c r="B23" s="11">
        <v>44672</v>
      </c>
      <c r="C23" s="5">
        <v>501</v>
      </c>
      <c r="D23" s="5">
        <v>494</v>
      </c>
      <c r="E23" s="5">
        <v>494</v>
      </c>
      <c r="F23" s="5">
        <v>178</v>
      </c>
      <c r="G23" s="5">
        <v>3</v>
      </c>
      <c r="H23" s="2">
        <f t="shared" si="0"/>
        <v>2016</v>
      </c>
    </row>
    <row r="24" ht="20" customHeight="1" spans="1:8">
      <c r="A24" s="2">
        <v>22</v>
      </c>
      <c r="B24" s="11">
        <v>44673</v>
      </c>
      <c r="C24" s="5">
        <v>486</v>
      </c>
      <c r="D24" s="5">
        <v>515</v>
      </c>
      <c r="E24" s="5">
        <v>515</v>
      </c>
      <c r="F24" s="5">
        <v>150</v>
      </c>
      <c r="G24" s="5">
        <v>3</v>
      </c>
      <c r="H24" s="2">
        <f t="shared" si="0"/>
        <v>1995</v>
      </c>
    </row>
    <row r="25" ht="20" customHeight="1" spans="1:8">
      <c r="A25" s="2">
        <v>23</v>
      </c>
      <c r="B25" s="11">
        <v>44674</v>
      </c>
      <c r="C25" s="5">
        <v>286</v>
      </c>
      <c r="D25" s="5">
        <v>336</v>
      </c>
      <c r="E25" s="5">
        <v>336</v>
      </c>
      <c r="F25" s="5">
        <v>132</v>
      </c>
      <c r="G25" s="5">
        <v>3</v>
      </c>
      <c r="H25" s="2">
        <f t="shared" si="0"/>
        <v>1404</v>
      </c>
    </row>
    <row r="26" ht="20" customHeight="1" spans="1:8">
      <c r="A26" s="2">
        <v>24</v>
      </c>
      <c r="B26" s="11">
        <v>44675</v>
      </c>
      <c r="C26" s="5">
        <v>252</v>
      </c>
      <c r="D26" s="5">
        <v>212</v>
      </c>
      <c r="E26" s="5">
        <v>212</v>
      </c>
      <c r="F26" s="5">
        <v>131</v>
      </c>
      <c r="G26" s="5">
        <v>3</v>
      </c>
      <c r="H26" s="2">
        <f t="shared" si="0"/>
        <v>1029</v>
      </c>
    </row>
    <row r="27" ht="20" customHeight="1" spans="1:8">
      <c r="A27" s="2">
        <v>25</v>
      </c>
      <c r="B27" s="11">
        <v>44676</v>
      </c>
      <c r="C27" s="5">
        <v>509</v>
      </c>
      <c r="D27" s="5">
        <v>519</v>
      </c>
      <c r="E27" s="5">
        <v>519</v>
      </c>
      <c r="F27" s="5">
        <v>134</v>
      </c>
      <c r="G27" s="5">
        <v>3</v>
      </c>
      <c r="H27" s="2">
        <f t="shared" si="0"/>
        <v>1959</v>
      </c>
    </row>
    <row r="28" ht="20" customHeight="1" spans="1:8">
      <c r="A28" s="2">
        <v>26</v>
      </c>
      <c r="B28" s="11">
        <v>44677</v>
      </c>
      <c r="C28" s="5">
        <v>483</v>
      </c>
      <c r="D28" s="5">
        <v>478</v>
      </c>
      <c r="E28" s="5">
        <v>478</v>
      </c>
      <c r="F28" s="5">
        <v>131</v>
      </c>
      <c r="G28" s="5">
        <v>3</v>
      </c>
      <c r="H28" s="2">
        <f t="shared" si="0"/>
        <v>1827</v>
      </c>
    </row>
    <row r="29" ht="20" customHeight="1" spans="1:8">
      <c r="A29" s="2">
        <v>27</v>
      </c>
      <c r="B29" s="11">
        <v>44678</v>
      </c>
      <c r="C29" s="5">
        <v>493</v>
      </c>
      <c r="D29" s="5">
        <v>493</v>
      </c>
      <c r="E29" s="5">
        <v>493</v>
      </c>
      <c r="F29" s="5">
        <v>129</v>
      </c>
      <c r="G29" s="5">
        <v>3</v>
      </c>
      <c r="H29" s="2">
        <f t="shared" si="0"/>
        <v>1866</v>
      </c>
    </row>
    <row r="30" ht="20" customHeight="1" spans="1:8">
      <c r="A30" s="2">
        <v>28</v>
      </c>
      <c r="B30" s="11">
        <v>44679</v>
      </c>
      <c r="C30" s="5">
        <v>534</v>
      </c>
      <c r="D30" s="5">
        <v>538</v>
      </c>
      <c r="E30" s="5">
        <v>538</v>
      </c>
      <c r="F30" s="5">
        <v>123</v>
      </c>
      <c r="G30" s="5">
        <v>3</v>
      </c>
      <c r="H30" s="2">
        <f t="shared" si="0"/>
        <v>1983</v>
      </c>
    </row>
    <row r="31" ht="20" customHeight="1" spans="1:8">
      <c r="A31" s="2">
        <v>29</v>
      </c>
      <c r="B31" s="11">
        <v>44680</v>
      </c>
      <c r="C31" s="5">
        <v>511</v>
      </c>
      <c r="D31" s="5">
        <v>532</v>
      </c>
      <c r="E31" s="5">
        <v>532</v>
      </c>
      <c r="F31" s="5">
        <v>109</v>
      </c>
      <c r="G31" s="5">
        <v>3</v>
      </c>
      <c r="H31" s="2">
        <f t="shared" si="0"/>
        <v>1923</v>
      </c>
    </row>
    <row r="32" ht="20" customHeight="1" spans="1:8">
      <c r="A32" s="2">
        <v>30</v>
      </c>
      <c r="B32" s="11">
        <v>44681</v>
      </c>
      <c r="C32" s="5">
        <v>240</v>
      </c>
      <c r="D32" s="5">
        <v>258</v>
      </c>
      <c r="E32" s="5">
        <v>258</v>
      </c>
      <c r="F32" s="5">
        <v>111</v>
      </c>
      <c r="G32" s="5">
        <v>3</v>
      </c>
      <c r="H32" s="2">
        <f t="shared" si="0"/>
        <v>1107</v>
      </c>
    </row>
    <row r="33" ht="20" customHeight="1" spans="1:8">
      <c r="A33" s="5" t="s">
        <v>22</v>
      </c>
      <c r="B33" s="7"/>
      <c r="C33" s="5">
        <f>SUM(C3:C32)</f>
        <v>12943</v>
      </c>
      <c r="D33" s="5">
        <f>SUM(D3:D32)</f>
        <v>13071</v>
      </c>
      <c r="E33" s="5">
        <f>SUM(E3:E32)</f>
        <v>13071</v>
      </c>
      <c r="F33" s="5">
        <f>SUM(F3:F32)</f>
        <v>4456</v>
      </c>
      <c r="G33" s="5">
        <v>3</v>
      </c>
      <c r="H33" s="2">
        <f t="shared" si="0"/>
        <v>52581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H34" sqref="H34"/>
    </sheetView>
  </sheetViews>
  <sheetFormatPr defaultColWidth="13.75" defaultRowHeight="22" customHeight="1" outlineLevelCol="7"/>
  <cols>
    <col min="1" max="1" width="5.5" customWidth="1"/>
    <col min="2" max="2" width="11.25" customWidth="1"/>
    <col min="3" max="3" width="11.375" customWidth="1"/>
    <col min="4" max="4" width="11.5" customWidth="1"/>
    <col min="5" max="5" width="9.875" customWidth="1"/>
    <col min="6" max="6" width="10.375" customWidth="1"/>
    <col min="7" max="7" width="15.5" customWidth="1"/>
    <col min="8" max="8" width="11.25" customWidth="1"/>
    <col min="9" max="16384" width="13.75" customWidth="1"/>
  </cols>
  <sheetData>
    <row r="1" ht="26" customHeight="1" spans="1:8">
      <c r="A1" s="1" t="s">
        <v>25</v>
      </c>
      <c r="B1" s="1"/>
      <c r="C1" s="1"/>
      <c r="D1" s="1"/>
      <c r="E1" s="1"/>
      <c r="F1" s="1"/>
      <c r="G1" s="1"/>
      <c r="H1" s="1"/>
    </row>
    <row r="2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4">
        <v>44682</v>
      </c>
      <c r="C3" s="2">
        <v>222</v>
      </c>
      <c r="D3" s="2">
        <v>227</v>
      </c>
      <c r="E3" s="2">
        <v>227</v>
      </c>
      <c r="F3" s="5">
        <v>110</v>
      </c>
      <c r="G3" s="2">
        <v>3</v>
      </c>
      <c r="H3" s="2">
        <f>(E3+F3)*G3</f>
        <v>1011</v>
      </c>
    </row>
    <row r="4" ht="20" customHeight="1" spans="1:8">
      <c r="A4" s="2">
        <v>2</v>
      </c>
      <c r="B4" s="4">
        <v>44683</v>
      </c>
      <c r="C4" s="2">
        <v>530</v>
      </c>
      <c r="D4" s="2">
        <v>515</v>
      </c>
      <c r="E4" s="2">
        <v>515</v>
      </c>
      <c r="F4" s="5">
        <v>108</v>
      </c>
      <c r="G4" s="5">
        <v>3</v>
      </c>
      <c r="H4" s="2">
        <f t="shared" ref="H4:H34" si="0">(E4+F4)*G4</f>
        <v>1869</v>
      </c>
    </row>
    <row r="5" ht="20" customHeight="1" spans="1:8">
      <c r="A5" s="2">
        <v>3</v>
      </c>
      <c r="B5" s="4">
        <v>44684</v>
      </c>
      <c r="C5" s="2">
        <v>458</v>
      </c>
      <c r="D5" s="2">
        <v>434</v>
      </c>
      <c r="E5" s="2">
        <v>434</v>
      </c>
      <c r="F5" s="5">
        <v>142</v>
      </c>
      <c r="G5" s="5">
        <v>3</v>
      </c>
      <c r="H5" s="2">
        <f t="shared" si="0"/>
        <v>1728</v>
      </c>
    </row>
    <row r="6" ht="20" customHeight="1" spans="1:8">
      <c r="A6" s="2">
        <v>4</v>
      </c>
      <c r="B6" s="4">
        <v>44685</v>
      </c>
      <c r="C6" s="2">
        <v>445</v>
      </c>
      <c r="D6" s="2">
        <v>477</v>
      </c>
      <c r="E6" s="2">
        <v>477</v>
      </c>
      <c r="F6" s="5">
        <v>158</v>
      </c>
      <c r="G6" s="5">
        <v>3</v>
      </c>
      <c r="H6" s="2">
        <f t="shared" si="0"/>
        <v>1905</v>
      </c>
    </row>
    <row r="7" ht="20" customHeight="1" spans="1:8">
      <c r="A7" s="2">
        <v>5</v>
      </c>
      <c r="B7" s="4">
        <v>44686</v>
      </c>
      <c r="C7" s="2">
        <v>478</v>
      </c>
      <c r="D7" s="2">
        <v>482</v>
      </c>
      <c r="E7" s="2">
        <v>482</v>
      </c>
      <c r="F7" s="5">
        <v>153</v>
      </c>
      <c r="G7" s="5">
        <v>3</v>
      </c>
      <c r="H7" s="2">
        <f t="shared" si="0"/>
        <v>1905</v>
      </c>
    </row>
    <row r="8" ht="20" customHeight="1" spans="1:8">
      <c r="A8" s="2">
        <v>6</v>
      </c>
      <c r="B8" s="4">
        <v>44687</v>
      </c>
      <c r="C8" s="2">
        <v>467</v>
      </c>
      <c r="D8" s="5">
        <v>477</v>
      </c>
      <c r="E8" s="5">
        <v>477</v>
      </c>
      <c r="F8" s="5">
        <v>143</v>
      </c>
      <c r="G8" s="5">
        <v>3</v>
      </c>
      <c r="H8" s="2">
        <f t="shared" si="0"/>
        <v>1860</v>
      </c>
    </row>
    <row r="9" ht="20" customHeight="1" spans="1:8">
      <c r="A9" s="2">
        <v>7</v>
      </c>
      <c r="B9" s="4">
        <v>44688</v>
      </c>
      <c r="C9" s="2">
        <v>277</v>
      </c>
      <c r="D9" s="5">
        <v>288</v>
      </c>
      <c r="E9" s="5">
        <v>288</v>
      </c>
      <c r="F9" s="5">
        <v>151</v>
      </c>
      <c r="G9" s="5">
        <v>3</v>
      </c>
      <c r="H9" s="2">
        <f t="shared" si="0"/>
        <v>1317</v>
      </c>
    </row>
    <row r="10" ht="20" customHeight="1" spans="1:8">
      <c r="A10" s="2">
        <v>8</v>
      </c>
      <c r="B10" s="4">
        <v>44689</v>
      </c>
      <c r="C10" s="2">
        <v>270</v>
      </c>
      <c r="D10" s="5">
        <v>279</v>
      </c>
      <c r="E10" s="5">
        <v>279</v>
      </c>
      <c r="F10" s="5">
        <v>151</v>
      </c>
      <c r="G10" s="5">
        <v>3</v>
      </c>
      <c r="H10" s="2">
        <f t="shared" si="0"/>
        <v>1290</v>
      </c>
    </row>
    <row r="11" ht="20" customHeight="1" spans="1:8">
      <c r="A11" s="2">
        <v>9</v>
      </c>
      <c r="B11" s="4">
        <v>44690</v>
      </c>
      <c r="C11" s="2">
        <v>489</v>
      </c>
      <c r="D11" s="5">
        <v>478</v>
      </c>
      <c r="E11" s="5">
        <v>478</v>
      </c>
      <c r="F11" s="5">
        <v>157</v>
      </c>
      <c r="G11" s="5">
        <v>3</v>
      </c>
      <c r="H11" s="2">
        <f t="shared" si="0"/>
        <v>1905</v>
      </c>
    </row>
    <row r="12" ht="20" customHeight="1" spans="1:8">
      <c r="A12" s="2">
        <v>10</v>
      </c>
      <c r="B12" s="4">
        <v>44691</v>
      </c>
      <c r="C12" s="2">
        <v>463</v>
      </c>
      <c r="D12" s="5">
        <v>464</v>
      </c>
      <c r="E12" s="5">
        <v>464</v>
      </c>
      <c r="F12" s="5">
        <v>163</v>
      </c>
      <c r="G12" s="5">
        <v>3</v>
      </c>
      <c r="H12" s="2">
        <f t="shared" si="0"/>
        <v>1881</v>
      </c>
    </row>
    <row r="13" ht="20" customHeight="1" spans="1:8">
      <c r="A13" s="2">
        <v>11</v>
      </c>
      <c r="B13" s="4">
        <v>44692</v>
      </c>
      <c r="C13" s="2">
        <v>460</v>
      </c>
      <c r="D13" s="5">
        <v>509</v>
      </c>
      <c r="E13" s="5">
        <v>509</v>
      </c>
      <c r="F13" s="5">
        <v>139</v>
      </c>
      <c r="G13" s="5">
        <v>3</v>
      </c>
      <c r="H13" s="2">
        <f t="shared" si="0"/>
        <v>1944</v>
      </c>
    </row>
    <row r="14" ht="20" customHeight="1" spans="1:8">
      <c r="A14" s="2">
        <v>12</v>
      </c>
      <c r="B14" s="4">
        <v>44693</v>
      </c>
      <c r="C14" s="2">
        <v>520</v>
      </c>
      <c r="D14" s="5">
        <v>501</v>
      </c>
      <c r="E14" s="5">
        <v>501</v>
      </c>
      <c r="F14" s="5">
        <v>142</v>
      </c>
      <c r="G14" s="5">
        <v>3</v>
      </c>
      <c r="H14" s="2">
        <f t="shared" si="0"/>
        <v>1929</v>
      </c>
    </row>
    <row r="15" ht="20" customHeight="1" spans="1:8">
      <c r="A15" s="2">
        <v>13</v>
      </c>
      <c r="B15" s="4">
        <v>44694</v>
      </c>
      <c r="C15" s="2">
        <v>466</v>
      </c>
      <c r="D15" s="5">
        <v>500</v>
      </c>
      <c r="E15" s="5">
        <v>500</v>
      </c>
      <c r="F15" s="5">
        <v>135</v>
      </c>
      <c r="G15" s="5">
        <v>3</v>
      </c>
      <c r="H15" s="2">
        <f t="shared" si="0"/>
        <v>1905</v>
      </c>
    </row>
    <row r="16" ht="20" customHeight="1" spans="1:8">
      <c r="A16" s="2">
        <v>14</v>
      </c>
      <c r="B16" s="4">
        <v>44695</v>
      </c>
      <c r="C16" s="2">
        <v>288</v>
      </c>
      <c r="D16" s="5">
        <v>310</v>
      </c>
      <c r="E16" s="5">
        <v>310</v>
      </c>
      <c r="F16" s="5">
        <v>112</v>
      </c>
      <c r="G16" s="5">
        <v>3</v>
      </c>
      <c r="H16" s="2">
        <f t="shared" si="0"/>
        <v>1266</v>
      </c>
    </row>
    <row r="17" ht="20" customHeight="1" spans="1:8">
      <c r="A17" s="2">
        <v>15</v>
      </c>
      <c r="B17" s="4">
        <v>44696</v>
      </c>
      <c r="C17" s="2">
        <v>222</v>
      </c>
      <c r="D17" s="5">
        <v>223</v>
      </c>
      <c r="E17" s="5">
        <v>223</v>
      </c>
      <c r="F17" s="5">
        <v>116</v>
      </c>
      <c r="G17" s="5">
        <v>3</v>
      </c>
      <c r="H17" s="2">
        <f t="shared" si="0"/>
        <v>1017</v>
      </c>
    </row>
    <row r="18" ht="20" customHeight="1" spans="1:8">
      <c r="A18" s="2">
        <v>16</v>
      </c>
      <c r="B18" s="4">
        <v>44697</v>
      </c>
      <c r="C18" s="2">
        <v>499</v>
      </c>
      <c r="D18" s="5">
        <v>479</v>
      </c>
      <c r="E18" s="5">
        <v>479</v>
      </c>
      <c r="F18" s="5">
        <v>124</v>
      </c>
      <c r="G18" s="5">
        <v>3</v>
      </c>
      <c r="H18" s="2">
        <f t="shared" si="0"/>
        <v>1809</v>
      </c>
    </row>
    <row r="19" ht="20" customHeight="1" spans="1:8">
      <c r="A19" s="2">
        <v>17</v>
      </c>
      <c r="B19" s="4">
        <v>44698</v>
      </c>
      <c r="C19" s="2">
        <v>500</v>
      </c>
      <c r="D19" s="5">
        <v>511</v>
      </c>
      <c r="E19" s="5">
        <v>511</v>
      </c>
      <c r="F19" s="5">
        <v>119</v>
      </c>
      <c r="G19" s="5">
        <v>3</v>
      </c>
      <c r="H19" s="2">
        <f t="shared" si="0"/>
        <v>1890</v>
      </c>
    </row>
    <row r="20" ht="20" customHeight="1" spans="1:8">
      <c r="A20" s="2">
        <v>18</v>
      </c>
      <c r="B20" s="4">
        <v>44699</v>
      </c>
      <c r="C20" s="2">
        <v>481</v>
      </c>
      <c r="D20" s="5">
        <v>486</v>
      </c>
      <c r="E20" s="5">
        <v>486</v>
      </c>
      <c r="F20" s="5">
        <v>126</v>
      </c>
      <c r="G20" s="5">
        <v>3</v>
      </c>
      <c r="H20" s="2">
        <f t="shared" si="0"/>
        <v>1836</v>
      </c>
    </row>
    <row r="21" ht="20" customHeight="1" spans="1:8">
      <c r="A21" s="2">
        <v>19</v>
      </c>
      <c r="B21" s="4">
        <v>44700</v>
      </c>
      <c r="C21" s="2">
        <v>492</v>
      </c>
      <c r="D21" s="5">
        <v>479</v>
      </c>
      <c r="E21" s="5">
        <v>479</v>
      </c>
      <c r="F21" s="5">
        <v>127</v>
      </c>
      <c r="G21" s="5">
        <v>3</v>
      </c>
      <c r="H21" s="2">
        <f t="shared" si="0"/>
        <v>1818</v>
      </c>
    </row>
    <row r="22" ht="20" customHeight="1" spans="1:8">
      <c r="A22" s="2">
        <v>20</v>
      </c>
      <c r="B22" s="4">
        <v>44701</v>
      </c>
      <c r="C22" s="2">
        <v>475</v>
      </c>
      <c r="D22" s="5">
        <v>494</v>
      </c>
      <c r="E22" s="5">
        <v>494</v>
      </c>
      <c r="F22" s="5">
        <v>107</v>
      </c>
      <c r="G22" s="5">
        <v>3</v>
      </c>
      <c r="H22" s="2">
        <f t="shared" si="0"/>
        <v>1803</v>
      </c>
    </row>
    <row r="23" ht="20" customHeight="1" spans="1:8">
      <c r="A23" s="2">
        <v>21</v>
      </c>
      <c r="B23" s="4">
        <v>44702</v>
      </c>
      <c r="C23" s="2">
        <v>250</v>
      </c>
      <c r="D23" s="5">
        <v>253</v>
      </c>
      <c r="E23" s="5">
        <v>253</v>
      </c>
      <c r="F23" s="5">
        <v>106</v>
      </c>
      <c r="G23" s="5">
        <v>3</v>
      </c>
      <c r="H23" s="2">
        <f t="shared" si="0"/>
        <v>1077</v>
      </c>
    </row>
    <row r="24" ht="20" customHeight="1" spans="1:8">
      <c r="A24" s="2">
        <v>22</v>
      </c>
      <c r="B24" s="4">
        <v>44703</v>
      </c>
      <c r="C24" s="2">
        <v>286</v>
      </c>
      <c r="D24" s="5">
        <v>301</v>
      </c>
      <c r="E24" s="5">
        <v>301</v>
      </c>
      <c r="F24" s="5">
        <v>104</v>
      </c>
      <c r="G24" s="5">
        <v>3</v>
      </c>
      <c r="H24" s="2">
        <f t="shared" si="0"/>
        <v>1215</v>
      </c>
    </row>
    <row r="25" ht="20" customHeight="1" spans="1:8">
      <c r="A25" s="2">
        <v>23</v>
      </c>
      <c r="B25" s="4">
        <v>44704</v>
      </c>
      <c r="C25" s="2">
        <v>495</v>
      </c>
      <c r="D25" s="5">
        <v>479</v>
      </c>
      <c r="E25" s="5">
        <v>479</v>
      </c>
      <c r="F25" s="5">
        <v>99</v>
      </c>
      <c r="G25" s="5">
        <v>3</v>
      </c>
      <c r="H25" s="2">
        <f t="shared" si="0"/>
        <v>1734</v>
      </c>
    </row>
    <row r="26" ht="20" customHeight="1" spans="1:8">
      <c r="A26" s="2">
        <v>24</v>
      </c>
      <c r="B26" s="4">
        <v>44705</v>
      </c>
      <c r="C26" s="2">
        <v>466</v>
      </c>
      <c r="D26" s="5">
        <v>463</v>
      </c>
      <c r="E26" s="5">
        <v>463</v>
      </c>
      <c r="F26" s="5">
        <v>118</v>
      </c>
      <c r="G26" s="5">
        <v>3</v>
      </c>
      <c r="H26" s="2">
        <f t="shared" si="0"/>
        <v>1743</v>
      </c>
    </row>
    <row r="27" ht="20" customHeight="1" spans="1:8">
      <c r="A27" s="2">
        <v>25</v>
      </c>
      <c r="B27" s="4">
        <v>44706</v>
      </c>
      <c r="C27" s="2">
        <v>479</v>
      </c>
      <c r="D27" s="5">
        <v>487</v>
      </c>
      <c r="E27" s="5">
        <v>487</v>
      </c>
      <c r="F27" s="5">
        <v>109</v>
      </c>
      <c r="G27" s="5">
        <v>3</v>
      </c>
      <c r="H27" s="2">
        <f t="shared" si="0"/>
        <v>1788</v>
      </c>
    </row>
    <row r="28" ht="20" customHeight="1" spans="1:8">
      <c r="A28" s="2">
        <v>26</v>
      </c>
      <c r="B28" s="4">
        <v>44707</v>
      </c>
      <c r="C28" s="2">
        <v>510</v>
      </c>
      <c r="D28" s="5">
        <v>518</v>
      </c>
      <c r="E28" s="5">
        <v>518</v>
      </c>
      <c r="F28" s="5">
        <v>108</v>
      </c>
      <c r="G28" s="5">
        <v>3</v>
      </c>
      <c r="H28" s="2">
        <f t="shared" si="0"/>
        <v>1878</v>
      </c>
    </row>
    <row r="29" ht="20" customHeight="1" spans="1:8">
      <c r="A29" s="2">
        <v>27</v>
      </c>
      <c r="B29" s="4">
        <v>44708</v>
      </c>
      <c r="C29" s="2">
        <v>528</v>
      </c>
      <c r="D29" s="5">
        <v>527</v>
      </c>
      <c r="E29" s="5">
        <v>527</v>
      </c>
      <c r="F29" s="5">
        <v>96</v>
      </c>
      <c r="G29" s="5">
        <v>3</v>
      </c>
      <c r="H29" s="2">
        <f t="shared" si="0"/>
        <v>1869</v>
      </c>
    </row>
    <row r="30" ht="20" customHeight="1" spans="1:8">
      <c r="A30" s="2">
        <v>28</v>
      </c>
      <c r="B30" s="4">
        <v>44709</v>
      </c>
      <c r="C30" s="2">
        <v>289</v>
      </c>
      <c r="D30" s="5">
        <v>324</v>
      </c>
      <c r="E30" s="5">
        <v>324</v>
      </c>
      <c r="F30" s="5">
        <v>100</v>
      </c>
      <c r="G30" s="5">
        <v>3</v>
      </c>
      <c r="H30" s="2">
        <f t="shared" si="0"/>
        <v>1272</v>
      </c>
    </row>
    <row r="31" ht="20" customHeight="1" spans="1:8">
      <c r="A31" s="2">
        <v>29</v>
      </c>
      <c r="B31" s="4">
        <v>44710</v>
      </c>
      <c r="C31" s="2">
        <v>246</v>
      </c>
      <c r="D31" s="5">
        <v>237</v>
      </c>
      <c r="E31" s="5">
        <v>237</v>
      </c>
      <c r="F31" s="5">
        <v>96</v>
      </c>
      <c r="G31" s="5">
        <v>3</v>
      </c>
      <c r="H31" s="2">
        <f t="shared" si="0"/>
        <v>999</v>
      </c>
    </row>
    <row r="32" ht="20" customHeight="1" spans="1:8">
      <c r="A32" s="2">
        <v>30</v>
      </c>
      <c r="B32" s="4">
        <v>44711</v>
      </c>
      <c r="C32" s="2">
        <v>527</v>
      </c>
      <c r="D32" s="5">
        <v>527</v>
      </c>
      <c r="E32" s="5">
        <v>527</v>
      </c>
      <c r="F32" s="5">
        <v>99</v>
      </c>
      <c r="G32" s="5">
        <v>3</v>
      </c>
      <c r="H32" s="2">
        <f t="shared" si="0"/>
        <v>1878</v>
      </c>
    </row>
    <row r="33" ht="20" customHeight="1" spans="1:8">
      <c r="A33" s="2">
        <v>31</v>
      </c>
      <c r="B33" s="4">
        <v>44712</v>
      </c>
      <c r="C33" s="2">
        <v>511</v>
      </c>
      <c r="D33" s="6">
        <v>501</v>
      </c>
      <c r="E33" s="6">
        <v>501</v>
      </c>
      <c r="F33" s="5">
        <v>103</v>
      </c>
      <c r="G33" s="6">
        <v>3</v>
      </c>
      <c r="H33" s="2">
        <f t="shared" si="0"/>
        <v>1812</v>
      </c>
    </row>
    <row r="34" ht="20" customHeight="1" spans="1:8">
      <c r="A34" s="5" t="s">
        <v>22</v>
      </c>
      <c r="B34" s="7"/>
      <c r="C34" s="5">
        <f t="shared" ref="C34:F34" si="1">SUM(C3:C33)</f>
        <v>13089</v>
      </c>
      <c r="D34" s="5">
        <f t="shared" si="1"/>
        <v>13230</v>
      </c>
      <c r="E34" s="5">
        <f t="shared" si="1"/>
        <v>13230</v>
      </c>
      <c r="F34" s="5">
        <f t="shared" si="1"/>
        <v>3821</v>
      </c>
      <c r="G34" s="5">
        <v>3</v>
      </c>
      <c r="H34" s="2">
        <f t="shared" si="0"/>
        <v>51153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H33" sqref="H33"/>
    </sheetView>
  </sheetViews>
  <sheetFormatPr defaultColWidth="15.125" defaultRowHeight="22" customHeight="1" outlineLevelCol="7"/>
  <cols>
    <col min="1" max="1" width="5.875" customWidth="1"/>
    <col min="2" max="2" width="11.25" customWidth="1"/>
    <col min="3" max="3" width="10.75" customWidth="1"/>
    <col min="4" max="4" width="11.25" customWidth="1"/>
    <col min="5" max="5" width="10.875" customWidth="1"/>
    <col min="6" max="6" width="10.5" customWidth="1"/>
    <col min="7" max="7" width="15.125" customWidth="1"/>
    <col min="8" max="8" width="10.625" customWidth="1"/>
    <col min="9" max="16384" width="15.125" customWidth="1"/>
  </cols>
  <sheetData>
    <row r="1" ht="39" customHeight="1" spans="1:8">
      <c r="A1" s="1" t="s">
        <v>26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4">
        <v>44713</v>
      </c>
      <c r="C3" s="2">
        <v>497</v>
      </c>
      <c r="D3" s="2">
        <v>533</v>
      </c>
      <c r="E3" s="2">
        <v>533</v>
      </c>
      <c r="F3" s="5">
        <v>89</v>
      </c>
      <c r="G3" s="2">
        <v>3</v>
      </c>
      <c r="H3" s="2">
        <f>(E3+F3)*G3</f>
        <v>1866</v>
      </c>
    </row>
    <row r="4" ht="20" customHeight="1" spans="1:8">
      <c r="A4" s="2">
        <v>2</v>
      </c>
      <c r="B4" s="4">
        <v>44714</v>
      </c>
      <c r="C4" s="2">
        <v>519</v>
      </c>
      <c r="D4" s="2">
        <v>538</v>
      </c>
      <c r="E4" s="2">
        <v>538</v>
      </c>
      <c r="F4" s="5">
        <v>57</v>
      </c>
      <c r="G4" s="5">
        <v>3</v>
      </c>
      <c r="H4" s="2">
        <f t="shared" ref="H4:H33" si="0">(E4+F4)*G4</f>
        <v>1785</v>
      </c>
    </row>
    <row r="5" ht="20" customHeight="1" spans="1:8">
      <c r="A5" s="2">
        <v>3</v>
      </c>
      <c r="B5" s="4">
        <v>44715</v>
      </c>
      <c r="C5" s="2">
        <v>265</v>
      </c>
      <c r="D5" s="2">
        <v>286</v>
      </c>
      <c r="E5" s="2">
        <v>286</v>
      </c>
      <c r="F5" s="5">
        <v>57</v>
      </c>
      <c r="G5" s="5">
        <v>3</v>
      </c>
      <c r="H5" s="2">
        <f t="shared" si="0"/>
        <v>1029</v>
      </c>
    </row>
    <row r="6" ht="20" customHeight="1" spans="1:8">
      <c r="A6" s="2">
        <v>4</v>
      </c>
      <c r="B6" s="4">
        <v>44716</v>
      </c>
      <c r="C6" s="2">
        <v>233</v>
      </c>
      <c r="D6" s="2">
        <v>248</v>
      </c>
      <c r="E6" s="2">
        <v>248</v>
      </c>
      <c r="F6" s="5">
        <v>56</v>
      </c>
      <c r="G6" s="5">
        <v>3</v>
      </c>
      <c r="H6" s="2">
        <f t="shared" si="0"/>
        <v>912</v>
      </c>
    </row>
    <row r="7" ht="20" customHeight="1" spans="1:8">
      <c r="A7" s="2">
        <v>5</v>
      </c>
      <c r="B7" s="4">
        <v>44717</v>
      </c>
      <c r="C7" s="2">
        <v>260</v>
      </c>
      <c r="D7" s="2">
        <v>226</v>
      </c>
      <c r="E7" s="2">
        <v>226</v>
      </c>
      <c r="F7" s="5">
        <v>57</v>
      </c>
      <c r="G7" s="5">
        <v>3</v>
      </c>
      <c r="H7" s="2">
        <f t="shared" si="0"/>
        <v>849</v>
      </c>
    </row>
    <row r="8" ht="20" customHeight="1" spans="1:8">
      <c r="A8" s="2">
        <v>6</v>
      </c>
      <c r="B8" s="4">
        <v>44718</v>
      </c>
      <c r="C8" s="2">
        <v>547</v>
      </c>
      <c r="D8" s="5">
        <v>526</v>
      </c>
      <c r="E8" s="5">
        <v>526</v>
      </c>
      <c r="F8" s="5">
        <v>72</v>
      </c>
      <c r="G8" s="5">
        <v>3</v>
      </c>
      <c r="H8" s="2">
        <f t="shared" si="0"/>
        <v>1794</v>
      </c>
    </row>
    <row r="9" ht="20" customHeight="1" spans="1:8">
      <c r="A9" s="2">
        <v>7</v>
      </c>
      <c r="B9" s="4">
        <v>44719</v>
      </c>
      <c r="C9" s="2">
        <v>495</v>
      </c>
      <c r="D9" s="5">
        <v>504</v>
      </c>
      <c r="E9" s="5">
        <v>504</v>
      </c>
      <c r="F9" s="5">
        <v>82</v>
      </c>
      <c r="G9" s="5">
        <v>3</v>
      </c>
      <c r="H9" s="2">
        <f t="shared" si="0"/>
        <v>1758</v>
      </c>
    </row>
    <row r="10" ht="20" customHeight="1" spans="1:8">
      <c r="A10" s="2">
        <v>8</v>
      </c>
      <c r="B10" s="4">
        <v>44720</v>
      </c>
      <c r="C10" s="2">
        <v>510</v>
      </c>
      <c r="D10" s="5">
        <v>512</v>
      </c>
      <c r="E10" s="5">
        <v>512</v>
      </c>
      <c r="F10" s="5">
        <v>77</v>
      </c>
      <c r="G10" s="5">
        <v>3</v>
      </c>
      <c r="H10" s="2">
        <f t="shared" si="0"/>
        <v>1767</v>
      </c>
    </row>
    <row r="11" ht="20" customHeight="1" spans="1:8">
      <c r="A11" s="2">
        <v>9</v>
      </c>
      <c r="B11" s="4">
        <v>44721</v>
      </c>
      <c r="C11" s="2">
        <v>525</v>
      </c>
      <c r="D11" s="5">
        <v>515</v>
      </c>
      <c r="E11" s="5">
        <v>515</v>
      </c>
      <c r="F11" s="5">
        <v>94</v>
      </c>
      <c r="G11" s="5">
        <v>3</v>
      </c>
      <c r="H11" s="2">
        <f t="shared" si="0"/>
        <v>1827</v>
      </c>
    </row>
    <row r="12" ht="20" customHeight="1" spans="1:8">
      <c r="A12" s="2">
        <v>10</v>
      </c>
      <c r="B12" s="4">
        <v>44722</v>
      </c>
      <c r="C12" s="2">
        <v>503</v>
      </c>
      <c r="D12" s="5">
        <v>539</v>
      </c>
      <c r="E12" s="5">
        <v>539</v>
      </c>
      <c r="F12" s="5">
        <v>74</v>
      </c>
      <c r="G12" s="5">
        <v>3</v>
      </c>
      <c r="H12" s="2">
        <f t="shared" si="0"/>
        <v>1839</v>
      </c>
    </row>
    <row r="13" ht="20" customHeight="1" spans="1:8">
      <c r="A13" s="2">
        <v>11</v>
      </c>
      <c r="B13" s="4">
        <v>44723</v>
      </c>
      <c r="C13" s="2">
        <v>262</v>
      </c>
      <c r="D13" s="5">
        <v>275</v>
      </c>
      <c r="E13" s="5">
        <v>275</v>
      </c>
      <c r="F13" s="5">
        <v>61</v>
      </c>
      <c r="G13" s="5">
        <v>3</v>
      </c>
      <c r="H13" s="2">
        <f t="shared" si="0"/>
        <v>1008</v>
      </c>
    </row>
    <row r="14" ht="20" customHeight="1" spans="1:8">
      <c r="A14" s="2">
        <v>12</v>
      </c>
      <c r="B14" s="4">
        <v>44724</v>
      </c>
      <c r="C14" s="2">
        <v>251</v>
      </c>
      <c r="D14" s="5">
        <v>255</v>
      </c>
      <c r="E14" s="5">
        <v>255</v>
      </c>
      <c r="F14" s="5">
        <v>52</v>
      </c>
      <c r="G14" s="5">
        <v>3</v>
      </c>
      <c r="H14" s="2">
        <f t="shared" si="0"/>
        <v>921</v>
      </c>
    </row>
    <row r="15" ht="20" customHeight="1" spans="1:8">
      <c r="A15" s="2">
        <v>13</v>
      </c>
      <c r="B15" s="4">
        <v>44725</v>
      </c>
      <c r="C15" s="2">
        <v>561</v>
      </c>
      <c r="D15" s="5">
        <v>531</v>
      </c>
      <c r="E15" s="5">
        <v>531</v>
      </c>
      <c r="F15" s="5">
        <v>61</v>
      </c>
      <c r="G15" s="5">
        <v>3</v>
      </c>
      <c r="H15" s="2">
        <f t="shared" si="0"/>
        <v>1776</v>
      </c>
    </row>
    <row r="16" ht="20" customHeight="1" spans="1:8">
      <c r="A16" s="2">
        <v>14</v>
      </c>
      <c r="B16" s="4">
        <v>44726</v>
      </c>
      <c r="C16" s="2">
        <v>509</v>
      </c>
      <c r="D16" s="5">
        <v>514</v>
      </c>
      <c r="E16" s="5">
        <v>514</v>
      </c>
      <c r="F16" s="5">
        <v>79</v>
      </c>
      <c r="G16" s="5">
        <v>3</v>
      </c>
      <c r="H16" s="2">
        <f t="shared" si="0"/>
        <v>1779</v>
      </c>
    </row>
    <row r="17" ht="20" customHeight="1" spans="1:8">
      <c r="A17" s="2">
        <v>15</v>
      </c>
      <c r="B17" s="4">
        <v>44727</v>
      </c>
      <c r="C17" s="2">
        <v>536</v>
      </c>
      <c r="D17" s="5">
        <v>528</v>
      </c>
      <c r="E17" s="5">
        <v>528</v>
      </c>
      <c r="F17" s="5">
        <v>84</v>
      </c>
      <c r="G17" s="5">
        <v>3</v>
      </c>
      <c r="H17" s="2">
        <f t="shared" si="0"/>
        <v>1836</v>
      </c>
    </row>
    <row r="18" ht="20" customHeight="1" spans="1:8">
      <c r="A18" s="2">
        <v>16</v>
      </c>
      <c r="B18" s="4">
        <v>44728</v>
      </c>
      <c r="C18" s="2">
        <v>541</v>
      </c>
      <c r="D18" s="5">
        <v>545</v>
      </c>
      <c r="E18" s="5">
        <v>545</v>
      </c>
      <c r="F18" s="5">
        <v>78</v>
      </c>
      <c r="G18" s="5">
        <v>3</v>
      </c>
      <c r="H18" s="2">
        <f t="shared" si="0"/>
        <v>1869</v>
      </c>
    </row>
    <row r="19" ht="20" customHeight="1" spans="1:8">
      <c r="A19" s="2">
        <v>17</v>
      </c>
      <c r="B19" s="4">
        <v>44729</v>
      </c>
      <c r="C19" s="2">
        <v>533</v>
      </c>
      <c r="D19" s="5">
        <v>546</v>
      </c>
      <c r="E19" s="5">
        <v>546</v>
      </c>
      <c r="F19" s="5">
        <v>63</v>
      </c>
      <c r="G19" s="5">
        <v>3</v>
      </c>
      <c r="H19" s="2">
        <f t="shared" si="0"/>
        <v>1827</v>
      </c>
    </row>
    <row r="20" ht="20" customHeight="1" spans="1:8">
      <c r="A20" s="2">
        <v>18</v>
      </c>
      <c r="B20" s="4">
        <v>44730</v>
      </c>
      <c r="C20" s="2">
        <v>294</v>
      </c>
      <c r="D20" s="5">
        <v>329</v>
      </c>
      <c r="E20" s="5">
        <v>329</v>
      </c>
      <c r="F20" s="5">
        <v>50</v>
      </c>
      <c r="G20" s="5">
        <v>3</v>
      </c>
      <c r="H20" s="2">
        <f t="shared" si="0"/>
        <v>1137</v>
      </c>
    </row>
    <row r="21" ht="20" customHeight="1" spans="1:8">
      <c r="A21" s="2">
        <v>19</v>
      </c>
      <c r="B21" s="4">
        <v>44731</v>
      </c>
      <c r="C21" s="2">
        <v>267</v>
      </c>
      <c r="D21" s="5">
        <v>263</v>
      </c>
      <c r="E21" s="5">
        <v>263</v>
      </c>
      <c r="F21" s="5">
        <v>47</v>
      </c>
      <c r="G21" s="5">
        <v>3</v>
      </c>
      <c r="H21" s="2">
        <f t="shared" si="0"/>
        <v>930</v>
      </c>
    </row>
    <row r="22" ht="20" customHeight="1" spans="1:8">
      <c r="A22" s="2">
        <v>20</v>
      </c>
      <c r="B22" s="4">
        <v>44732</v>
      </c>
      <c r="C22" s="2">
        <v>575</v>
      </c>
      <c r="D22" s="5">
        <v>542</v>
      </c>
      <c r="E22" s="5">
        <v>542</v>
      </c>
      <c r="F22" s="5">
        <v>48</v>
      </c>
      <c r="G22" s="5">
        <v>3</v>
      </c>
      <c r="H22" s="2">
        <f t="shared" si="0"/>
        <v>1770</v>
      </c>
    </row>
    <row r="23" ht="20" customHeight="1" spans="1:8">
      <c r="A23" s="2">
        <v>21</v>
      </c>
      <c r="B23" s="4">
        <v>44733</v>
      </c>
      <c r="C23" s="2">
        <v>535</v>
      </c>
      <c r="D23" s="5">
        <v>515</v>
      </c>
      <c r="E23" s="5">
        <v>515</v>
      </c>
      <c r="F23" s="5">
        <v>76</v>
      </c>
      <c r="G23" s="5">
        <v>3</v>
      </c>
      <c r="H23" s="2">
        <f t="shared" si="0"/>
        <v>1773</v>
      </c>
    </row>
    <row r="24" ht="20" customHeight="1" spans="1:8">
      <c r="A24" s="2">
        <v>22</v>
      </c>
      <c r="B24" s="4">
        <v>44734</v>
      </c>
      <c r="C24" s="2">
        <v>540</v>
      </c>
      <c r="D24" s="5">
        <v>566</v>
      </c>
      <c r="E24" s="5">
        <v>566</v>
      </c>
      <c r="F24" s="5">
        <v>69</v>
      </c>
      <c r="G24" s="5">
        <v>3</v>
      </c>
      <c r="H24" s="2">
        <f t="shared" si="0"/>
        <v>1905</v>
      </c>
    </row>
    <row r="25" ht="20" customHeight="1" spans="1:8">
      <c r="A25" s="2">
        <v>23</v>
      </c>
      <c r="B25" s="4">
        <v>44735</v>
      </c>
      <c r="C25" s="2">
        <v>556</v>
      </c>
      <c r="D25" s="5">
        <v>579</v>
      </c>
      <c r="E25" s="5">
        <v>579</v>
      </c>
      <c r="F25" s="5">
        <v>57</v>
      </c>
      <c r="G25" s="5">
        <v>3</v>
      </c>
      <c r="H25" s="2">
        <f t="shared" si="0"/>
        <v>1908</v>
      </c>
    </row>
    <row r="26" ht="20" customHeight="1" spans="1:8">
      <c r="A26" s="2">
        <v>24</v>
      </c>
      <c r="B26" s="4">
        <v>44736</v>
      </c>
      <c r="C26" s="2">
        <v>552</v>
      </c>
      <c r="D26" s="5">
        <v>564</v>
      </c>
      <c r="E26" s="5">
        <v>564</v>
      </c>
      <c r="F26" s="5">
        <v>39</v>
      </c>
      <c r="G26" s="5">
        <v>3</v>
      </c>
      <c r="H26" s="2">
        <f t="shared" si="0"/>
        <v>1809</v>
      </c>
    </row>
    <row r="27" ht="20" customHeight="1" spans="1:8">
      <c r="A27" s="2">
        <v>25</v>
      </c>
      <c r="B27" s="4">
        <v>44737</v>
      </c>
      <c r="C27" s="2">
        <v>271</v>
      </c>
      <c r="D27" s="5">
        <v>312</v>
      </c>
      <c r="E27" s="5">
        <v>312</v>
      </c>
      <c r="F27" s="5">
        <v>14</v>
      </c>
      <c r="G27" s="5">
        <v>3</v>
      </c>
      <c r="H27" s="2">
        <f t="shared" si="0"/>
        <v>978</v>
      </c>
    </row>
    <row r="28" ht="20" customHeight="1" spans="1:8">
      <c r="A28" s="2">
        <v>26</v>
      </c>
      <c r="B28" s="4">
        <v>44738</v>
      </c>
      <c r="C28" s="2">
        <v>291</v>
      </c>
      <c r="D28" s="5">
        <v>287</v>
      </c>
      <c r="E28" s="5">
        <v>287</v>
      </c>
      <c r="F28" s="5">
        <v>11</v>
      </c>
      <c r="G28" s="5">
        <v>3</v>
      </c>
      <c r="H28" s="2">
        <f t="shared" si="0"/>
        <v>894</v>
      </c>
    </row>
    <row r="29" ht="20" customHeight="1" spans="1:8">
      <c r="A29" s="2">
        <v>27</v>
      </c>
      <c r="B29" s="4">
        <v>44739</v>
      </c>
      <c r="C29" s="2">
        <v>571</v>
      </c>
      <c r="D29" s="5">
        <v>537</v>
      </c>
      <c r="E29" s="5">
        <v>537</v>
      </c>
      <c r="F29" s="5">
        <v>15</v>
      </c>
      <c r="G29" s="5">
        <v>3</v>
      </c>
      <c r="H29" s="2">
        <f t="shared" si="0"/>
        <v>1656</v>
      </c>
    </row>
    <row r="30" ht="20" customHeight="1" spans="1:8">
      <c r="A30" s="2">
        <v>28</v>
      </c>
      <c r="B30" s="4">
        <v>44740</v>
      </c>
      <c r="C30" s="2">
        <v>522</v>
      </c>
      <c r="D30" s="5">
        <v>525</v>
      </c>
      <c r="E30" s="5">
        <v>525</v>
      </c>
      <c r="F30" s="5">
        <v>45</v>
      </c>
      <c r="G30" s="5">
        <v>3</v>
      </c>
      <c r="H30" s="2">
        <f t="shared" si="0"/>
        <v>1710</v>
      </c>
    </row>
    <row r="31" ht="20" customHeight="1" spans="1:8">
      <c r="A31" s="2">
        <v>29</v>
      </c>
      <c r="B31" s="4">
        <v>44741</v>
      </c>
      <c r="C31" s="2">
        <v>544</v>
      </c>
      <c r="D31" s="5">
        <v>544</v>
      </c>
      <c r="E31" s="5">
        <v>544</v>
      </c>
      <c r="F31" s="5">
        <v>61</v>
      </c>
      <c r="G31" s="5">
        <v>3</v>
      </c>
      <c r="H31" s="2">
        <f t="shared" si="0"/>
        <v>1815</v>
      </c>
    </row>
    <row r="32" ht="20" customHeight="1" spans="1:8">
      <c r="A32" s="2">
        <v>30</v>
      </c>
      <c r="B32" s="4">
        <v>44742</v>
      </c>
      <c r="C32" s="2">
        <v>524</v>
      </c>
      <c r="D32" s="5">
        <v>545</v>
      </c>
      <c r="E32" s="5">
        <v>545</v>
      </c>
      <c r="F32" s="5">
        <v>62</v>
      </c>
      <c r="G32" s="5">
        <v>3</v>
      </c>
      <c r="H32" s="2">
        <f t="shared" si="0"/>
        <v>1821</v>
      </c>
    </row>
    <row r="33" ht="20" customHeight="1" spans="1:8">
      <c r="A33" s="5" t="s">
        <v>22</v>
      </c>
      <c r="B33" s="7"/>
      <c r="C33" s="5">
        <f>SUM(C3:C32)</f>
        <v>13589</v>
      </c>
      <c r="D33" s="5">
        <f>SUM(D3:D32)</f>
        <v>13729</v>
      </c>
      <c r="E33" s="5">
        <f>SUM(E3:E32)</f>
        <v>13729</v>
      </c>
      <c r="F33" s="5">
        <f>SUM(F3:F32)</f>
        <v>1787</v>
      </c>
      <c r="G33" s="5">
        <v>3</v>
      </c>
      <c r="H33" s="2">
        <f t="shared" si="0"/>
        <v>46548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H34" sqref="H34"/>
    </sheetView>
  </sheetViews>
  <sheetFormatPr defaultColWidth="14.375" defaultRowHeight="22" customHeight="1" outlineLevelCol="7"/>
  <cols>
    <col min="1" max="1" width="5.875" customWidth="1"/>
    <col min="2" max="2" width="10.625" customWidth="1"/>
    <col min="3" max="3" width="11.375" customWidth="1"/>
    <col min="4" max="4" width="11.625" customWidth="1"/>
    <col min="5" max="5" width="9.875" customWidth="1"/>
    <col min="6" max="6" width="10" customWidth="1"/>
    <col min="7" max="7" width="15.625" customWidth="1"/>
    <col min="8" max="8" width="10.5" customWidth="1"/>
    <col min="9" max="16383" width="14.375" customWidth="1"/>
  </cols>
  <sheetData>
    <row r="1" ht="28" customHeight="1" spans="1:8">
      <c r="A1" s="1" t="s">
        <v>27</v>
      </c>
      <c r="B1" s="1"/>
      <c r="C1" s="1"/>
      <c r="D1" s="1"/>
      <c r="E1" s="1"/>
      <c r="F1" s="1"/>
      <c r="G1" s="1"/>
      <c r="H1" s="1"/>
    </row>
    <row r="2" ht="21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8" t="s">
        <v>18</v>
      </c>
      <c r="F2" s="2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4">
        <v>44743</v>
      </c>
      <c r="C3" s="2">
        <v>504</v>
      </c>
      <c r="D3" s="2">
        <v>529</v>
      </c>
      <c r="E3" s="8">
        <v>529</v>
      </c>
      <c r="F3" s="5">
        <v>34</v>
      </c>
      <c r="G3" s="2">
        <v>3</v>
      </c>
      <c r="H3" s="2">
        <f>(E3+F3)*G3</f>
        <v>1689</v>
      </c>
    </row>
    <row r="4" ht="20" customHeight="1" spans="1:8">
      <c r="A4" s="2">
        <v>2</v>
      </c>
      <c r="B4" s="4">
        <v>44744</v>
      </c>
      <c r="C4" s="2">
        <v>268</v>
      </c>
      <c r="D4" s="2">
        <v>300</v>
      </c>
      <c r="E4" s="8">
        <v>300</v>
      </c>
      <c r="F4" s="5">
        <v>20</v>
      </c>
      <c r="G4" s="5">
        <v>3</v>
      </c>
      <c r="H4" s="2">
        <f t="shared" ref="H4:H11" si="0">(E4+F4)*G4</f>
        <v>960</v>
      </c>
    </row>
    <row r="5" ht="20" customHeight="1" spans="1:8">
      <c r="A5" s="2">
        <v>3</v>
      </c>
      <c r="B5" s="4">
        <v>44745</v>
      </c>
      <c r="C5" s="2">
        <v>299</v>
      </c>
      <c r="D5" s="2">
        <v>290</v>
      </c>
      <c r="E5" s="8">
        <v>290</v>
      </c>
      <c r="F5" s="5">
        <v>14</v>
      </c>
      <c r="G5" s="5">
        <v>3</v>
      </c>
      <c r="H5" s="2">
        <f t="shared" si="0"/>
        <v>912</v>
      </c>
    </row>
    <row r="6" ht="20" customHeight="1" spans="1:8">
      <c r="A6" s="2">
        <v>4</v>
      </c>
      <c r="B6" s="4">
        <v>44746</v>
      </c>
      <c r="C6" s="2">
        <v>557</v>
      </c>
      <c r="D6" s="2">
        <v>541</v>
      </c>
      <c r="E6" s="8">
        <v>541</v>
      </c>
      <c r="F6" s="5">
        <v>11</v>
      </c>
      <c r="G6" s="5">
        <v>3</v>
      </c>
      <c r="H6" s="2">
        <f t="shared" si="0"/>
        <v>1656</v>
      </c>
    </row>
    <row r="7" ht="20" customHeight="1" spans="1:8">
      <c r="A7" s="2">
        <v>5</v>
      </c>
      <c r="B7" s="4">
        <v>44747</v>
      </c>
      <c r="C7" s="2">
        <v>568</v>
      </c>
      <c r="D7" s="2">
        <v>555</v>
      </c>
      <c r="E7" s="8">
        <v>555</v>
      </c>
      <c r="F7" s="5">
        <v>29</v>
      </c>
      <c r="G7" s="5">
        <v>3</v>
      </c>
      <c r="H7" s="2">
        <f t="shared" si="0"/>
        <v>1752</v>
      </c>
    </row>
    <row r="8" ht="20" customHeight="1" spans="1:8">
      <c r="A8" s="2">
        <v>6</v>
      </c>
      <c r="B8" s="4">
        <v>44748</v>
      </c>
      <c r="C8" s="2">
        <v>544</v>
      </c>
      <c r="D8" s="5">
        <v>566</v>
      </c>
      <c r="E8" s="9">
        <v>566</v>
      </c>
      <c r="F8" s="5">
        <v>22</v>
      </c>
      <c r="G8" s="5">
        <v>3</v>
      </c>
      <c r="H8" s="2">
        <f t="shared" si="0"/>
        <v>1764</v>
      </c>
    </row>
    <row r="9" ht="20" customHeight="1" spans="1:8">
      <c r="A9" s="2">
        <v>7</v>
      </c>
      <c r="B9" s="4">
        <v>44749</v>
      </c>
      <c r="C9" s="2">
        <v>550</v>
      </c>
      <c r="D9" s="5">
        <v>534</v>
      </c>
      <c r="E9" s="9">
        <v>534</v>
      </c>
      <c r="F9" s="5">
        <v>17</v>
      </c>
      <c r="G9" s="5">
        <v>3</v>
      </c>
      <c r="H9" s="2">
        <f t="shared" si="0"/>
        <v>1653</v>
      </c>
    </row>
    <row r="10" ht="20" customHeight="1" spans="1:8">
      <c r="A10" s="2">
        <v>8</v>
      </c>
      <c r="B10" s="4">
        <v>44750</v>
      </c>
      <c r="C10" s="2">
        <v>536</v>
      </c>
      <c r="D10" s="5">
        <v>559</v>
      </c>
      <c r="E10" s="9">
        <v>559</v>
      </c>
      <c r="F10" s="5">
        <v>16</v>
      </c>
      <c r="G10" s="5">
        <v>3</v>
      </c>
      <c r="H10" s="2">
        <f t="shared" si="0"/>
        <v>1725</v>
      </c>
    </row>
    <row r="11" ht="20" customHeight="1" spans="1:8">
      <c r="A11" s="2">
        <v>9</v>
      </c>
      <c r="B11" s="4">
        <v>44751</v>
      </c>
      <c r="C11" s="2">
        <v>346</v>
      </c>
      <c r="D11" s="5">
        <v>405</v>
      </c>
      <c r="E11" s="9">
        <v>405</v>
      </c>
      <c r="F11" s="5">
        <v>8</v>
      </c>
      <c r="G11" s="5">
        <v>3</v>
      </c>
      <c r="H11" s="2">
        <f t="shared" si="0"/>
        <v>1239</v>
      </c>
    </row>
    <row r="12" ht="20" customHeight="1" spans="1:8">
      <c r="A12" s="2">
        <v>10</v>
      </c>
      <c r="B12" s="4">
        <v>44752</v>
      </c>
      <c r="C12" s="2">
        <v>308</v>
      </c>
      <c r="D12" s="5">
        <v>292</v>
      </c>
      <c r="E12" s="9">
        <v>292</v>
      </c>
      <c r="F12" s="5">
        <v>23</v>
      </c>
      <c r="G12" s="5">
        <v>3</v>
      </c>
      <c r="H12" s="2">
        <f t="shared" ref="H12:H34" si="1">(E12+F12)*G12</f>
        <v>945</v>
      </c>
    </row>
    <row r="13" ht="20" customHeight="1" spans="1:8">
      <c r="A13" s="2">
        <v>11</v>
      </c>
      <c r="B13" s="4">
        <v>44753</v>
      </c>
      <c r="C13" s="2">
        <v>582</v>
      </c>
      <c r="D13" s="5">
        <v>542</v>
      </c>
      <c r="E13" s="9">
        <v>542</v>
      </c>
      <c r="F13" s="5">
        <v>6</v>
      </c>
      <c r="G13" s="5">
        <v>3</v>
      </c>
      <c r="H13" s="2">
        <f t="shared" si="1"/>
        <v>1644</v>
      </c>
    </row>
    <row r="14" ht="20" customHeight="1" spans="1:8">
      <c r="A14" s="2">
        <v>12</v>
      </c>
      <c r="B14" s="4">
        <v>44754</v>
      </c>
      <c r="C14" s="2">
        <v>538</v>
      </c>
      <c r="D14" s="5">
        <v>533</v>
      </c>
      <c r="E14" s="9">
        <v>533</v>
      </c>
      <c r="F14" s="5">
        <v>18</v>
      </c>
      <c r="G14" s="5">
        <v>3</v>
      </c>
      <c r="H14" s="2">
        <f t="shared" si="1"/>
        <v>1653</v>
      </c>
    </row>
    <row r="15" ht="20" customHeight="1" spans="1:8">
      <c r="A15" s="2">
        <v>13</v>
      </c>
      <c r="B15" s="4">
        <v>44755</v>
      </c>
      <c r="C15" s="2">
        <v>530</v>
      </c>
      <c r="D15" s="5">
        <v>533</v>
      </c>
      <c r="E15" s="9">
        <v>533</v>
      </c>
      <c r="F15" s="5">
        <v>28</v>
      </c>
      <c r="G15" s="5">
        <v>3</v>
      </c>
      <c r="H15" s="2">
        <f t="shared" si="1"/>
        <v>1683</v>
      </c>
    </row>
    <row r="16" ht="20" customHeight="1" spans="1:8">
      <c r="A16" s="2">
        <v>14</v>
      </c>
      <c r="B16" s="4">
        <v>44756</v>
      </c>
      <c r="C16" s="2">
        <v>526</v>
      </c>
      <c r="D16" s="5">
        <v>545</v>
      </c>
      <c r="E16" s="9">
        <v>545</v>
      </c>
      <c r="F16" s="5">
        <v>14</v>
      </c>
      <c r="G16" s="5">
        <v>3</v>
      </c>
      <c r="H16" s="2">
        <f t="shared" si="1"/>
        <v>1677</v>
      </c>
    </row>
    <row r="17" ht="20" customHeight="1" spans="1:8">
      <c r="A17" s="2">
        <v>15</v>
      </c>
      <c r="B17" s="4">
        <v>44757</v>
      </c>
      <c r="C17" s="2">
        <v>559</v>
      </c>
      <c r="D17" s="5">
        <v>566</v>
      </c>
      <c r="E17" s="9">
        <v>566</v>
      </c>
      <c r="F17" s="5">
        <v>13</v>
      </c>
      <c r="G17" s="5">
        <v>3</v>
      </c>
      <c r="H17" s="2">
        <f t="shared" si="1"/>
        <v>1737</v>
      </c>
    </row>
    <row r="18" ht="20" customHeight="1" spans="1:8">
      <c r="A18" s="2">
        <v>16</v>
      </c>
      <c r="B18" s="4">
        <v>44758</v>
      </c>
      <c r="C18" s="2">
        <v>330</v>
      </c>
      <c r="D18" s="5">
        <v>359</v>
      </c>
      <c r="E18" s="9">
        <v>359</v>
      </c>
      <c r="F18" s="5">
        <v>15</v>
      </c>
      <c r="G18" s="5">
        <v>3</v>
      </c>
      <c r="H18" s="2">
        <f t="shared" si="1"/>
        <v>1122</v>
      </c>
    </row>
    <row r="19" ht="20" customHeight="1" spans="1:8">
      <c r="A19" s="2">
        <v>17</v>
      </c>
      <c r="B19" s="4">
        <v>44759</v>
      </c>
      <c r="C19" s="2">
        <v>292</v>
      </c>
      <c r="D19" s="5">
        <v>316</v>
      </c>
      <c r="E19" s="9">
        <v>316</v>
      </c>
      <c r="F19" s="5">
        <v>36</v>
      </c>
      <c r="G19" s="5">
        <v>3</v>
      </c>
      <c r="H19" s="2">
        <f t="shared" si="1"/>
        <v>1056</v>
      </c>
    </row>
    <row r="20" ht="20" customHeight="1" spans="1:8">
      <c r="A20" s="2">
        <v>18</v>
      </c>
      <c r="B20" s="4">
        <v>44760</v>
      </c>
      <c r="C20" s="2">
        <v>580</v>
      </c>
      <c r="D20" s="5">
        <v>529</v>
      </c>
      <c r="E20" s="9">
        <v>529</v>
      </c>
      <c r="F20" s="5">
        <v>32</v>
      </c>
      <c r="G20" s="5">
        <v>3</v>
      </c>
      <c r="H20" s="2">
        <f t="shared" si="1"/>
        <v>1683</v>
      </c>
    </row>
    <row r="21" ht="20" customHeight="1" spans="1:8">
      <c r="A21" s="2">
        <v>19</v>
      </c>
      <c r="B21" s="4">
        <v>44761</v>
      </c>
      <c r="C21" s="2">
        <v>560</v>
      </c>
      <c r="D21" s="5">
        <v>554</v>
      </c>
      <c r="E21" s="9">
        <v>554</v>
      </c>
      <c r="F21" s="5">
        <v>1</v>
      </c>
      <c r="G21" s="5">
        <v>3</v>
      </c>
      <c r="H21" s="2">
        <f t="shared" si="1"/>
        <v>1665</v>
      </c>
    </row>
    <row r="22" ht="20" customHeight="1" spans="1:8">
      <c r="A22" s="2">
        <v>20</v>
      </c>
      <c r="B22" s="4">
        <v>44762</v>
      </c>
      <c r="C22" s="2">
        <v>532</v>
      </c>
      <c r="D22" s="5">
        <v>549</v>
      </c>
      <c r="E22" s="9">
        <v>549</v>
      </c>
      <c r="F22" s="5">
        <v>4</v>
      </c>
      <c r="G22" s="5">
        <v>3</v>
      </c>
      <c r="H22" s="2">
        <f t="shared" si="1"/>
        <v>1659</v>
      </c>
    </row>
    <row r="23" ht="20" customHeight="1" spans="1:8">
      <c r="A23" s="2">
        <v>21</v>
      </c>
      <c r="B23" s="4">
        <v>44763</v>
      </c>
      <c r="C23" s="2">
        <v>567</v>
      </c>
      <c r="D23" s="5">
        <v>568</v>
      </c>
      <c r="E23" s="9">
        <v>568</v>
      </c>
      <c r="F23" s="5">
        <v>9</v>
      </c>
      <c r="G23" s="5">
        <v>3</v>
      </c>
      <c r="H23" s="2">
        <f t="shared" si="1"/>
        <v>1731</v>
      </c>
    </row>
    <row r="24" ht="20" customHeight="1" spans="1:8">
      <c r="A24" s="2">
        <v>22</v>
      </c>
      <c r="B24" s="4">
        <v>44764</v>
      </c>
      <c r="C24" s="2">
        <v>544</v>
      </c>
      <c r="D24" s="5">
        <v>571</v>
      </c>
      <c r="E24" s="9">
        <v>571</v>
      </c>
      <c r="F24" s="5">
        <v>26</v>
      </c>
      <c r="G24" s="5">
        <v>3</v>
      </c>
      <c r="H24" s="2">
        <f t="shared" si="1"/>
        <v>1791</v>
      </c>
    </row>
    <row r="25" ht="20" customHeight="1" spans="1:8">
      <c r="A25" s="2">
        <v>23</v>
      </c>
      <c r="B25" s="4">
        <v>44765</v>
      </c>
      <c r="C25" s="2">
        <v>291</v>
      </c>
      <c r="D25" s="5">
        <v>316</v>
      </c>
      <c r="E25" s="9">
        <v>316</v>
      </c>
      <c r="F25" s="5">
        <v>52</v>
      </c>
      <c r="G25" s="5">
        <v>3</v>
      </c>
      <c r="H25" s="2">
        <f t="shared" si="1"/>
        <v>1104</v>
      </c>
    </row>
    <row r="26" ht="20" customHeight="1" spans="1:8">
      <c r="A26" s="2">
        <v>24</v>
      </c>
      <c r="B26" s="4">
        <v>44766</v>
      </c>
      <c r="C26" s="2">
        <v>286</v>
      </c>
      <c r="D26" s="5">
        <v>274</v>
      </c>
      <c r="E26" s="9">
        <v>274</v>
      </c>
      <c r="F26" s="5">
        <v>45</v>
      </c>
      <c r="G26" s="5">
        <v>3</v>
      </c>
      <c r="H26" s="2">
        <f t="shared" si="1"/>
        <v>957</v>
      </c>
    </row>
    <row r="27" ht="20" customHeight="1" spans="1:8">
      <c r="A27" s="2">
        <v>25</v>
      </c>
      <c r="B27" s="4">
        <v>44767</v>
      </c>
      <c r="C27" s="2">
        <v>566</v>
      </c>
      <c r="D27" s="5">
        <v>517</v>
      </c>
      <c r="E27" s="9">
        <v>517</v>
      </c>
      <c r="F27" s="5">
        <v>34</v>
      </c>
      <c r="G27" s="5">
        <v>3</v>
      </c>
      <c r="H27" s="2">
        <f t="shared" si="1"/>
        <v>1653</v>
      </c>
    </row>
    <row r="28" ht="20" customHeight="1" spans="1:8">
      <c r="A28" s="2">
        <v>26</v>
      </c>
      <c r="B28" s="4">
        <v>44768</v>
      </c>
      <c r="C28" s="2">
        <v>524</v>
      </c>
      <c r="D28" s="5">
        <v>544</v>
      </c>
      <c r="E28" s="9">
        <v>544</v>
      </c>
      <c r="F28" s="5">
        <v>9</v>
      </c>
      <c r="G28" s="5">
        <v>3</v>
      </c>
      <c r="H28" s="2">
        <f t="shared" si="1"/>
        <v>1659</v>
      </c>
    </row>
    <row r="29" ht="20" customHeight="1" spans="1:8">
      <c r="A29" s="2">
        <v>27</v>
      </c>
      <c r="B29" s="4">
        <v>44769</v>
      </c>
      <c r="C29" s="2">
        <v>536</v>
      </c>
      <c r="D29" s="5">
        <v>555</v>
      </c>
      <c r="E29" s="9">
        <v>555</v>
      </c>
      <c r="F29" s="5">
        <v>18</v>
      </c>
      <c r="G29" s="5">
        <v>3</v>
      </c>
      <c r="H29" s="2">
        <f t="shared" si="1"/>
        <v>1719</v>
      </c>
    </row>
    <row r="30" ht="20" customHeight="1" spans="1:8">
      <c r="A30" s="2">
        <v>28</v>
      </c>
      <c r="B30" s="4">
        <v>44770</v>
      </c>
      <c r="C30" s="2">
        <v>548</v>
      </c>
      <c r="D30" s="5">
        <v>560</v>
      </c>
      <c r="E30" s="9">
        <v>560</v>
      </c>
      <c r="F30" s="5">
        <v>26</v>
      </c>
      <c r="G30" s="5">
        <v>3</v>
      </c>
      <c r="H30" s="2">
        <f t="shared" si="1"/>
        <v>1758</v>
      </c>
    </row>
    <row r="31" ht="20" customHeight="1" spans="1:8">
      <c r="A31" s="2">
        <v>29</v>
      </c>
      <c r="B31" s="4">
        <v>44771</v>
      </c>
      <c r="C31" s="2">
        <v>548</v>
      </c>
      <c r="D31" s="5">
        <v>564</v>
      </c>
      <c r="E31" s="9">
        <v>564</v>
      </c>
      <c r="F31" s="5">
        <v>27</v>
      </c>
      <c r="G31" s="5">
        <v>3</v>
      </c>
      <c r="H31" s="2">
        <f t="shared" si="1"/>
        <v>1773</v>
      </c>
    </row>
    <row r="32" ht="20" customHeight="1" spans="1:8">
      <c r="A32" s="2">
        <v>30</v>
      </c>
      <c r="B32" s="4">
        <v>44772</v>
      </c>
      <c r="C32" s="2">
        <v>274</v>
      </c>
      <c r="D32" s="5">
        <v>296</v>
      </c>
      <c r="E32" s="9">
        <v>296</v>
      </c>
      <c r="F32" s="5">
        <v>40</v>
      </c>
      <c r="G32" s="5">
        <v>3</v>
      </c>
      <c r="H32" s="2">
        <f t="shared" si="1"/>
        <v>1008</v>
      </c>
    </row>
    <row r="33" ht="20" customHeight="1" spans="1:8">
      <c r="A33" s="2">
        <v>31</v>
      </c>
      <c r="B33" s="4">
        <v>44773</v>
      </c>
      <c r="C33" s="2">
        <v>293</v>
      </c>
      <c r="D33" s="6">
        <v>268</v>
      </c>
      <c r="E33" s="10">
        <v>268</v>
      </c>
      <c r="F33" s="5">
        <v>45</v>
      </c>
      <c r="G33" s="6">
        <v>3</v>
      </c>
      <c r="H33" s="2">
        <f t="shared" si="1"/>
        <v>939</v>
      </c>
    </row>
    <row r="34" ht="20" customHeight="1" spans="1:8">
      <c r="A34" s="5" t="s">
        <v>22</v>
      </c>
      <c r="B34" s="7"/>
      <c r="C34" s="5">
        <f>SUM(C3:C33)</f>
        <v>14486</v>
      </c>
      <c r="D34" s="5">
        <f>SUM(D3:D33)</f>
        <v>14630</v>
      </c>
      <c r="E34" s="9">
        <f>SUM(E3:E33)</f>
        <v>14630</v>
      </c>
      <c r="F34" s="5">
        <f>SUM(F3:F33)</f>
        <v>692</v>
      </c>
      <c r="G34" s="5">
        <v>3</v>
      </c>
      <c r="H34" s="2">
        <f t="shared" si="1"/>
        <v>45966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J17" sqref="J17"/>
    </sheetView>
  </sheetViews>
  <sheetFormatPr defaultColWidth="13.75" defaultRowHeight="22" customHeight="1" outlineLevelCol="7"/>
  <cols>
    <col min="1" max="1" width="5.5" customWidth="1"/>
    <col min="2" max="2" width="10.75" customWidth="1"/>
    <col min="3" max="3" width="11.5" customWidth="1"/>
    <col min="4" max="4" width="11.125" customWidth="1"/>
    <col min="5" max="5" width="9.875" customWidth="1"/>
    <col min="6" max="6" width="9.125" customWidth="1"/>
    <col min="7" max="7" width="16" customWidth="1"/>
    <col min="8" max="8" width="10.75" customWidth="1"/>
    <col min="9" max="16383" width="13.75" customWidth="1"/>
  </cols>
  <sheetData>
    <row r="1" customHeight="1" spans="1:8">
      <c r="A1" s="1" t="s">
        <v>28</v>
      </c>
      <c r="B1" s="1"/>
      <c r="C1" s="1"/>
      <c r="D1" s="1"/>
      <c r="E1" s="1"/>
      <c r="F1" s="1"/>
      <c r="G1" s="1"/>
      <c r="H1" s="1"/>
    </row>
    <row r="2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4">
        <v>44774</v>
      </c>
      <c r="C3" s="2">
        <v>564</v>
      </c>
      <c r="D3" s="2">
        <v>546</v>
      </c>
      <c r="E3" s="2">
        <v>546</v>
      </c>
      <c r="F3" s="5">
        <v>24</v>
      </c>
      <c r="G3" s="2">
        <v>3</v>
      </c>
      <c r="H3" s="2">
        <f>(E3+F3)*G3</f>
        <v>1710</v>
      </c>
    </row>
    <row r="4" ht="20" customHeight="1" spans="1:8">
      <c r="A4" s="2">
        <v>2</v>
      </c>
      <c r="B4" s="4">
        <v>44775</v>
      </c>
      <c r="C4" s="2">
        <v>540</v>
      </c>
      <c r="D4" s="2">
        <v>522</v>
      </c>
      <c r="E4" s="2">
        <v>522</v>
      </c>
      <c r="F4" s="5">
        <v>6</v>
      </c>
      <c r="G4" s="5">
        <v>3</v>
      </c>
      <c r="H4" s="2">
        <f t="shared" ref="H4:H34" si="0">(E4+F4)*G4</f>
        <v>1584</v>
      </c>
    </row>
    <row r="5" ht="20" customHeight="1" spans="1:8">
      <c r="A5" s="2">
        <v>3</v>
      </c>
      <c r="B5" s="4">
        <v>44776</v>
      </c>
      <c r="C5" s="2">
        <v>542</v>
      </c>
      <c r="D5" s="2">
        <v>552</v>
      </c>
      <c r="E5" s="2">
        <v>552</v>
      </c>
      <c r="F5" s="5">
        <v>14</v>
      </c>
      <c r="G5" s="5">
        <v>3</v>
      </c>
      <c r="H5" s="2">
        <f t="shared" si="0"/>
        <v>1698</v>
      </c>
    </row>
    <row r="6" ht="20" customHeight="1" spans="1:8">
      <c r="A6" s="2">
        <v>4</v>
      </c>
      <c r="B6" s="4">
        <v>44777</v>
      </c>
      <c r="C6" s="2">
        <v>559</v>
      </c>
      <c r="D6" s="2">
        <v>580</v>
      </c>
      <c r="E6" s="2">
        <v>580</v>
      </c>
      <c r="F6" s="5">
        <v>3</v>
      </c>
      <c r="G6" s="5">
        <v>3</v>
      </c>
      <c r="H6" s="2">
        <f t="shared" si="0"/>
        <v>1749</v>
      </c>
    </row>
    <row r="7" ht="20" customHeight="1" spans="1:8">
      <c r="A7" s="2">
        <v>5</v>
      </c>
      <c r="B7" s="4">
        <v>44778</v>
      </c>
      <c r="C7" s="2">
        <v>557</v>
      </c>
      <c r="D7" s="2">
        <v>564</v>
      </c>
      <c r="E7" s="2">
        <v>564</v>
      </c>
      <c r="F7" s="5">
        <v>28</v>
      </c>
      <c r="G7" s="5">
        <v>3</v>
      </c>
      <c r="H7" s="2">
        <f t="shared" si="0"/>
        <v>1776</v>
      </c>
    </row>
    <row r="8" ht="20" customHeight="1" spans="1:8">
      <c r="A8" s="2">
        <v>6</v>
      </c>
      <c r="B8" s="4">
        <v>44779</v>
      </c>
      <c r="C8" s="2">
        <v>288</v>
      </c>
      <c r="D8" s="5">
        <v>323</v>
      </c>
      <c r="E8" s="5">
        <v>323</v>
      </c>
      <c r="F8" s="5">
        <v>34</v>
      </c>
      <c r="G8" s="5">
        <v>3</v>
      </c>
      <c r="H8" s="2">
        <f t="shared" si="0"/>
        <v>1071</v>
      </c>
    </row>
    <row r="9" ht="20" customHeight="1" spans="1:8">
      <c r="A9" s="2">
        <v>7</v>
      </c>
      <c r="B9" s="4">
        <v>44780</v>
      </c>
      <c r="C9" s="2">
        <v>298</v>
      </c>
      <c r="D9" s="5">
        <v>278</v>
      </c>
      <c r="E9" s="5">
        <v>278</v>
      </c>
      <c r="F9" s="5">
        <v>37</v>
      </c>
      <c r="G9" s="5">
        <v>3</v>
      </c>
      <c r="H9" s="2">
        <f t="shared" si="0"/>
        <v>945</v>
      </c>
    </row>
    <row r="10" ht="20" customHeight="1" spans="1:8">
      <c r="A10" s="2">
        <v>8</v>
      </c>
      <c r="B10" s="4">
        <v>44781</v>
      </c>
      <c r="C10" s="2">
        <v>561</v>
      </c>
      <c r="D10" s="5">
        <v>558</v>
      </c>
      <c r="E10" s="5">
        <v>558</v>
      </c>
      <c r="F10" s="5">
        <v>26</v>
      </c>
      <c r="G10" s="5">
        <v>3</v>
      </c>
      <c r="H10" s="2">
        <f t="shared" si="0"/>
        <v>1752</v>
      </c>
    </row>
    <row r="11" ht="20" customHeight="1" spans="1:8">
      <c r="A11" s="2">
        <v>9</v>
      </c>
      <c r="B11" s="4">
        <v>44782</v>
      </c>
      <c r="C11" s="2">
        <v>541</v>
      </c>
      <c r="D11" s="5">
        <v>524</v>
      </c>
      <c r="E11" s="5">
        <v>524</v>
      </c>
      <c r="F11" s="5">
        <v>5</v>
      </c>
      <c r="G11" s="5">
        <v>3</v>
      </c>
      <c r="H11" s="2">
        <f t="shared" si="0"/>
        <v>1587</v>
      </c>
    </row>
    <row r="12" ht="20" customHeight="1" spans="1:8">
      <c r="A12" s="2">
        <v>10</v>
      </c>
      <c r="B12" s="4">
        <v>44783</v>
      </c>
      <c r="C12" s="2">
        <v>529</v>
      </c>
      <c r="D12" s="5">
        <v>537</v>
      </c>
      <c r="E12" s="5">
        <v>537</v>
      </c>
      <c r="F12" s="5">
        <v>15</v>
      </c>
      <c r="G12" s="5">
        <v>3</v>
      </c>
      <c r="H12" s="2">
        <f t="shared" si="0"/>
        <v>1656</v>
      </c>
    </row>
    <row r="13" ht="20" customHeight="1" spans="1:8">
      <c r="A13" s="2">
        <v>11</v>
      </c>
      <c r="B13" s="4">
        <v>44784</v>
      </c>
      <c r="C13" s="2">
        <v>549</v>
      </c>
      <c r="D13" s="5">
        <v>542</v>
      </c>
      <c r="E13" s="5">
        <v>542</v>
      </c>
      <c r="F13" s="5">
        <v>9</v>
      </c>
      <c r="G13" s="5">
        <v>3</v>
      </c>
      <c r="H13" s="2">
        <f t="shared" si="0"/>
        <v>1653</v>
      </c>
    </row>
    <row r="14" ht="20" customHeight="1" spans="1:8">
      <c r="A14" s="2">
        <v>12</v>
      </c>
      <c r="B14" s="4">
        <v>44785</v>
      </c>
      <c r="C14" s="2">
        <v>534</v>
      </c>
      <c r="D14" s="5">
        <v>577</v>
      </c>
      <c r="E14" s="5">
        <v>577</v>
      </c>
      <c r="F14" s="5">
        <v>20</v>
      </c>
      <c r="G14" s="5">
        <v>3</v>
      </c>
      <c r="H14" s="2">
        <f t="shared" si="0"/>
        <v>1791</v>
      </c>
    </row>
    <row r="15" ht="20" customHeight="1" spans="1:8">
      <c r="A15" s="2">
        <v>13</v>
      </c>
      <c r="B15" s="4">
        <v>44786</v>
      </c>
      <c r="C15" s="2">
        <v>293</v>
      </c>
      <c r="D15" s="5">
        <v>322</v>
      </c>
      <c r="E15" s="5">
        <v>322</v>
      </c>
      <c r="F15" s="5">
        <v>31</v>
      </c>
      <c r="G15" s="5">
        <v>3</v>
      </c>
      <c r="H15" s="2">
        <f t="shared" si="0"/>
        <v>1059</v>
      </c>
    </row>
    <row r="16" ht="20" customHeight="1" spans="1:8">
      <c r="A16" s="2">
        <v>14</v>
      </c>
      <c r="B16" s="4">
        <v>44787</v>
      </c>
      <c r="C16" s="2">
        <v>287</v>
      </c>
      <c r="D16" s="5">
        <v>280</v>
      </c>
      <c r="E16" s="5">
        <v>280</v>
      </c>
      <c r="F16" s="5">
        <v>22</v>
      </c>
      <c r="G16" s="5">
        <v>3</v>
      </c>
      <c r="H16" s="2">
        <f t="shared" si="0"/>
        <v>906</v>
      </c>
    </row>
    <row r="17" ht="20" customHeight="1" spans="1:8">
      <c r="A17" s="2">
        <v>15</v>
      </c>
      <c r="B17" s="4">
        <v>44788</v>
      </c>
      <c r="C17" s="2">
        <v>577</v>
      </c>
      <c r="D17" s="5">
        <v>534</v>
      </c>
      <c r="E17" s="5">
        <v>534</v>
      </c>
      <c r="F17" s="5">
        <v>23</v>
      </c>
      <c r="G17" s="5">
        <v>3</v>
      </c>
      <c r="H17" s="2">
        <f t="shared" si="0"/>
        <v>1671</v>
      </c>
    </row>
    <row r="18" ht="20" customHeight="1" spans="1:8">
      <c r="A18" s="2">
        <v>16</v>
      </c>
      <c r="B18" s="4">
        <v>44789</v>
      </c>
      <c r="C18" s="2">
        <v>534</v>
      </c>
      <c r="D18" s="5">
        <v>550</v>
      </c>
      <c r="E18" s="5">
        <v>550</v>
      </c>
      <c r="F18" s="5">
        <v>2</v>
      </c>
      <c r="G18" s="5">
        <v>3</v>
      </c>
      <c r="H18" s="2">
        <f t="shared" si="0"/>
        <v>1656</v>
      </c>
    </row>
    <row r="19" ht="20" customHeight="1" spans="1:8">
      <c r="A19" s="2">
        <v>17</v>
      </c>
      <c r="B19" s="4">
        <v>44790</v>
      </c>
      <c r="C19" s="2">
        <v>562</v>
      </c>
      <c r="D19" s="5">
        <v>560</v>
      </c>
      <c r="E19" s="5">
        <v>560</v>
      </c>
      <c r="F19" s="5">
        <v>3</v>
      </c>
      <c r="G19" s="5">
        <v>3</v>
      </c>
      <c r="H19" s="2">
        <f t="shared" si="0"/>
        <v>1689</v>
      </c>
    </row>
    <row r="20" ht="20" customHeight="1" spans="1:8">
      <c r="A20" s="2">
        <v>18</v>
      </c>
      <c r="B20" s="4">
        <v>44791</v>
      </c>
      <c r="C20" s="2">
        <v>575</v>
      </c>
      <c r="D20" s="5">
        <v>575</v>
      </c>
      <c r="E20" s="5">
        <v>575</v>
      </c>
      <c r="F20" s="5">
        <v>3</v>
      </c>
      <c r="G20" s="5">
        <v>3</v>
      </c>
      <c r="H20" s="2">
        <f t="shared" si="0"/>
        <v>1734</v>
      </c>
    </row>
    <row r="21" ht="20" customHeight="1" spans="1:8">
      <c r="A21" s="2">
        <v>19</v>
      </c>
      <c r="B21" s="4">
        <v>44792</v>
      </c>
      <c r="C21" s="2">
        <v>530</v>
      </c>
      <c r="D21" s="5">
        <v>567</v>
      </c>
      <c r="E21" s="5">
        <v>567</v>
      </c>
      <c r="F21" s="5">
        <v>41</v>
      </c>
      <c r="G21" s="5">
        <v>3</v>
      </c>
      <c r="H21" s="2">
        <f t="shared" si="0"/>
        <v>1824</v>
      </c>
    </row>
    <row r="22" ht="20" customHeight="1" spans="1:8">
      <c r="A22" s="2">
        <v>20</v>
      </c>
      <c r="B22" s="4">
        <v>44793</v>
      </c>
      <c r="C22" s="2">
        <v>294</v>
      </c>
      <c r="D22" s="5">
        <v>312</v>
      </c>
      <c r="E22" s="5">
        <v>312</v>
      </c>
      <c r="F22" s="5">
        <v>51</v>
      </c>
      <c r="G22" s="5">
        <v>3</v>
      </c>
      <c r="H22" s="2">
        <f t="shared" si="0"/>
        <v>1089</v>
      </c>
    </row>
    <row r="23" ht="20" customHeight="1" spans="1:8">
      <c r="A23" s="2">
        <v>21</v>
      </c>
      <c r="B23" s="4">
        <v>44794</v>
      </c>
      <c r="C23" s="2">
        <v>288</v>
      </c>
      <c r="D23" s="5">
        <v>272</v>
      </c>
      <c r="E23" s="5">
        <v>272</v>
      </c>
      <c r="F23" s="5">
        <v>46</v>
      </c>
      <c r="G23" s="5">
        <v>3</v>
      </c>
      <c r="H23" s="2">
        <f t="shared" si="0"/>
        <v>954</v>
      </c>
    </row>
    <row r="24" ht="20" customHeight="1" spans="1:8">
      <c r="A24" s="2">
        <v>22</v>
      </c>
      <c r="B24" s="4">
        <v>44795</v>
      </c>
      <c r="C24" s="2">
        <v>581</v>
      </c>
      <c r="D24" s="5">
        <v>567</v>
      </c>
      <c r="E24" s="5">
        <v>567</v>
      </c>
      <c r="F24" s="5">
        <v>21</v>
      </c>
      <c r="G24" s="5">
        <v>3</v>
      </c>
      <c r="H24" s="2">
        <f t="shared" si="0"/>
        <v>1764</v>
      </c>
    </row>
    <row r="25" ht="20" customHeight="1" spans="1:8">
      <c r="A25" s="2">
        <v>23</v>
      </c>
      <c r="B25" s="4">
        <v>44796</v>
      </c>
      <c r="C25" s="2">
        <v>546</v>
      </c>
      <c r="D25" s="5">
        <v>548</v>
      </c>
      <c r="E25" s="5">
        <v>548</v>
      </c>
      <c r="F25" s="5">
        <v>12</v>
      </c>
      <c r="G25" s="5">
        <v>3</v>
      </c>
      <c r="H25" s="2">
        <f t="shared" si="0"/>
        <v>1680</v>
      </c>
    </row>
    <row r="26" ht="20" customHeight="1" spans="1:8">
      <c r="A26" s="2">
        <v>24</v>
      </c>
      <c r="B26" s="4">
        <v>44797</v>
      </c>
      <c r="C26" s="2">
        <v>563</v>
      </c>
      <c r="D26" s="5">
        <v>562</v>
      </c>
      <c r="E26" s="5">
        <v>562</v>
      </c>
      <c r="F26" s="5">
        <v>15</v>
      </c>
      <c r="G26" s="5">
        <v>3</v>
      </c>
      <c r="H26" s="2">
        <f t="shared" si="0"/>
        <v>1731</v>
      </c>
    </row>
    <row r="27" ht="20" customHeight="1" spans="1:8">
      <c r="A27" s="2">
        <v>25</v>
      </c>
      <c r="B27" s="4">
        <v>44798</v>
      </c>
      <c r="C27" s="2">
        <v>584</v>
      </c>
      <c r="D27" s="5">
        <v>591</v>
      </c>
      <c r="E27" s="5">
        <v>591</v>
      </c>
      <c r="F27" s="5">
        <v>15</v>
      </c>
      <c r="G27" s="5">
        <v>3</v>
      </c>
      <c r="H27" s="2">
        <f t="shared" si="0"/>
        <v>1818</v>
      </c>
    </row>
    <row r="28" ht="20" customHeight="1" spans="1:8">
      <c r="A28" s="2">
        <v>26</v>
      </c>
      <c r="B28" s="4">
        <v>44799</v>
      </c>
      <c r="C28" s="2">
        <v>561</v>
      </c>
      <c r="D28" s="5">
        <v>591</v>
      </c>
      <c r="E28" s="5">
        <v>591</v>
      </c>
      <c r="F28" s="5">
        <v>40</v>
      </c>
      <c r="G28" s="5">
        <v>3</v>
      </c>
      <c r="H28" s="2">
        <f t="shared" si="0"/>
        <v>1893</v>
      </c>
    </row>
    <row r="29" ht="20" customHeight="1" spans="1:8">
      <c r="A29" s="2">
        <v>27</v>
      </c>
      <c r="B29" s="4">
        <v>44800</v>
      </c>
      <c r="C29" s="2">
        <v>286</v>
      </c>
      <c r="D29" s="5">
        <v>303</v>
      </c>
      <c r="E29" s="5">
        <v>303</v>
      </c>
      <c r="F29" s="5">
        <v>33</v>
      </c>
      <c r="G29" s="5">
        <v>3</v>
      </c>
      <c r="H29" s="2">
        <f t="shared" si="0"/>
        <v>1008</v>
      </c>
    </row>
    <row r="30" ht="20" customHeight="1" spans="1:8">
      <c r="A30" s="2">
        <v>28</v>
      </c>
      <c r="B30" s="4">
        <v>44801</v>
      </c>
      <c r="C30" s="2">
        <v>272</v>
      </c>
      <c r="D30" s="5">
        <v>277</v>
      </c>
      <c r="E30" s="5">
        <v>277</v>
      </c>
      <c r="F30" s="5">
        <v>38</v>
      </c>
      <c r="G30" s="5">
        <v>3</v>
      </c>
      <c r="H30" s="2">
        <f t="shared" si="0"/>
        <v>945</v>
      </c>
    </row>
    <row r="31" ht="20" customHeight="1" spans="1:8">
      <c r="A31" s="2">
        <v>29</v>
      </c>
      <c r="B31" s="4">
        <v>44802</v>
      </c>
      <c r="C31" s="2">
        <v>612</v>
      </c>
      <c r="D31" s="5">
        <v>578</v>
      </c>
      <c r="E31" s="5">
        <v>578</v>
      </c>
      <c r="F31" s="5">
        <v>34</v>
      </c>
      <c r="G31" s="5">
        <v>3</v>
      </c>
      <c r="H31" s="2">
        <f t="shared" si="0"/>
        <v>1836</v>
      </c>
    </row>
    <row r="32" ht="20" customHeight="1" spans="1:8">
      <c r="A32" s="2">
        <v>30</v>
      </c>
      <c r="B32" s="4">
        <v>44803</v>
      </c>
      <c r="C32" s="2">
        <v>591</v>
      </c>
      <c r="D32" s="5">
        <v>582</v>
      </c>
      <c r="E32" s="5">
        <v>582</v>
      </c>
      <c r="F32" s="5">
        <v>23</v>
      </c>
      <c r="G32" s="5">
        <v>3</v>
      </c>
      <c r="H32" s="2">
        <f t="shared" si="0"/>
        <v>1815</v>
      </c>
    </row>
    <row r="33" ht="20" customHeight="1" spans="1:8">
      <c r="A33" s="2">
        <v>31</v>
      </c>
      <c r="B33" s="4">
        <v>44804</v>
      </c>
      <c r="C33" s="2">
        <v>565</v>
      </c>
      <c r="D33" s="6">
        <v>574</v>
      </c>
      <c r="E33" s="6">
        <v>574</v>
      </c>
      <c r="F33" s="5">
        <v>12</v>
      </c>
      <c r="G33" s="6">
        <v>3</v>
      </c>
      <c r="H33" s="2">
        <f t="shared" si="0"/>
        <v>1758</v>
      </c>
    </row>
    <row r="34" ht="20" customHeight="1" spans="1:8">
      <c r="A34" s="5" t="s">
        <v>22</v>
      </c>
      <c r="B34" s="7"/>
      <c r="C34" s="5">
        <f>SUM(C3:C33)</f>
        <v>15163</v>
      </c>
      <c r="D34" s="5">
        <f>SUM(D3:D33)</f>
        <v>15248</v>
      </c>
      <c r="E34" s="5">
        <f>SUM(E3:E33)</f>
        <v>15248</v>
      </c>
      <c r="F34" s="5">
        <f>SUM(F3:F33)</f>
        <v>686</v>
      </c>
      <c r="G34" s="5">
        <v>3</v>
      </c>
      <c r="H34" s="2">
        <f t="shared" si="0"/>
        <v>47802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I9" sqref="I9"/>
    </sheetView>
  </sheetViews>
  <sheetFormatPr defaultColWidth="12.25" defaultRowHeight="22" customHeight="1" outlineLevelCol="7"/>
  <cols>
    <col min="1" max="1" width="7.375" customWidth="1"/>
    <col min="2" max="2" width="10.5" customWidth="1"/>
    <col min="3" max="3" width="11.125" customWidth="1"/>
    <col min="4" max="4" width="11.5" customWidth="1"/>
    <col min="5" max="5" width="9.125" customWidth="1"/>
    <col min="6" max="6" width="9.75" customWidth="1"/>
    <col min="7" max="7" width="14.625" customWidth="1"/>
    <col min="8" max="8" width="11" customWidth="1"/>
    <col min="9" max="16383" width="12.25" customWidth="1"/>
  </cols>
  <sheetData>
    <row r="1" ht="33" customHeight="1" spans="1:8">
      <c r="A1" s="1" t="s">
        <v>29</v>
      </c>
      <c r="B1" s="1"/>
      <c r="C1" s="1"/>
      <c r="D1" s="1"/>
      <c r="E1" s="1"/>
      <c r="F1" s="1"/>
      <c r="G1" s="1"/>
      <c r="H1" s="1"/>
    </row>
    <row r="2" ht="27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ht="20" customHeight="1" spans="1:8">
      <c r="A3" s="2">
        <v>1</v>
      </c>
      <c r="B3" s="4">
        <v>44805</v>
      </c>
      <c r="C3" s="2">
        <v>559</v>
      </c>
      <c r="D3" s="2">
        <v>569</v>
      </c>
      <c r="E3" s="2">
        <v>569</v>
      </c>
      <c r="F3" s="5">
        <v>0</v>
      </c>
      <c r="G3" s="2">
        <v>3</v>
      </c>
      <c r="H3" s="2">
        <f>(E3+F3)*G3</f>
        <v>1707</v>
      </c>
    </row>
    <row r="4" ht="20" customHeight="1" spans="1:8">
      <c r="A4" s="2">
        <v>2</v>
      </c>
      <c r="B4" s="4">
        <v>44806</v>
      </c>
      <c r="C4" s="2">
        <v>568</v>
      </c>
      <c r="D4" s="2">
        <v>583</v>
      </c>
      <c r="E4" s="2">
        <v>583</v>
      </c>
      <c r="F4" s="5">
        <v>0</v>
      </c>
      <c r="G4" s="5">
        <v>3</v>
      </c>
      <c r="H4" s="2">
        <f t="shared" ref="H4:H34" si="0">(E4+F4)*G4</f>
        <v>1749</v>
      </c>
    </row>
    <row r="5" ht="20" customHeight="1" spans="1:8">
      <c r="A5" s="2">
        <v>3</v>
      </c>
      <c r="B5" s="4">
        <v>44807</v>
      </c>
      <c r="C5" s="2">
        <v>294</v>
      </c>
      <c r="D5" s="2">
        <v>311</v>
      </c>
      <c r="E5" s="2">
        <v>311</v>
      </c>
      <c r="F5" s="5">
        <v>22</v>
      </c>
      <c r="G5" s="5">
        <v>3</v>
      </c>
      <c r="H5" s="2">
        <f t="shared" si="0"/>
        <v>999</v>
      </c>
    </row>
    <row r="6" ht="20" customHeight="1" spans="1:8">
      <c r="A6" s="2">
        <v>4</v>
      </c>
      <c r="B6" s="4">
        <v>44808</v>
      </c>
      <c r="C6" s="2">
        <v>279</v>
      </c>
      <c r="D6" s="2">
        <v>280</v>
      </c>
      <c r="E6" s="2">
        <v>280</v>
      </c>
      <c r="F6" s="5">
        <v>21</v>
      </c>
      <c r="G6" s="5">
        <v>3</v>
      </c>
      <c r="H6" s="2">
        <f t="shared" si="0"/>
        <v>903</v>
      </c>
    </row>
    <row r="7" ht="20" customHeight="1" spans="1:8">
      <c r="A7" s="2">
        <v>5</v>
      </c>
      <c r="B7" s="4">
        <v>44809</v>
      </c>
      <c r="C7" s="2">
        <v>571</v>
      </c>
      <c r="D7" s="2">
        <v>548</v>
      </c>
      <c r="E7" s="2">
        <v>548</v>
      </c>
      <c r="F7" s="5">
        <v>9</v>
      </c>
      <c r="G7" s="5">
        <v>3</v>
      </c>
      <c r="H7" s="2">
        <f t="shared" si="0"/>
        <v>1671</v>
      </c>
    </row>
    <row r="8" ht="20" customHeight="1" spans="1:8">
      <c r="A8" s="2">
        <v>6</v>
      </c>
      <c r="B8" s="4">
        <v>44810</v>
      </c>
      <c r="C8" s="2">
        <v>545</v>
      </c>
      <c r="D8" s="5">
        <v>549</v>
      </c>
      <c r="E8" s="5">
        <v>549</v>
      </c>
      <c r="F8" s="5">
        <v>2</v>
      </c>
      <c r="G8" s="5">
        <v>3</v>
      </c>
      <c r="H8" s="2">
        <f t="shared" si="0"/>
        <v>1653</v>
      </c>
    </row>
    <row r="9" ht="20" customHeight="1" spans="1:8">
      <c r="A9" s="2">
        <v>7</v>
      </c>
      <c r="B9" s="4">
        <v>44811</v>
      </c>
      <c r="C9" s="2">
        <v>567</v>
      </c>
      <c r="D9" s="5">
        <v>579</v>
      </c>
      <c r="E9" s="5">
        <v>579</v>
      </c>
      <c r="F9" s="5">
        <v>39</v>
      </c>
      <c r="G9" s="5">
        <v>3</v>
      </c>
      <c r="H9" s="2">
        <f t="shared" si="0"/>
        <v>1854</v>
      </c>
    </row>
    <row r="10" ht="20" customHeight="1" spans="1:8">
      <c r="A10" s="2">
        <v>8</v>
      </c>
      <c r="B10" s="4">
        <v>44812</v>
      </c>
      <c r="C10" s="2">
        <v>577</v>
      </c>
      <c r="D10" s="5">
        <v>580</v>
      </c>
      <c r="E10" s="5">
        <v>580</v>
      </c>
      <c r="F10" s="5">
        <v>40</v>
      </c>
      <c r="G10" s="5">
        <v>3</v>
      </c>
      <c r="H10" s="2">
        <f t="shared" si="0"/>
        <v>1860</v>
      </c>
    </row>
    <row r="11" ht="20" customHeight="1" spans="1:8">
      <c r="A11" s="2">
        <v>9</v>
      </c>
      <c r="B11" s="4">
        <v>44813</v>
      </c>
      <c r="C11" s="2">
        <v>329</v>
      </c>
      <c r="D11" s="5">
        <v>358</v>
      </c>
      <c r="E11" s="5">
        <v>358</v>
      </c>
      <c r="F11" s="5">
        <v>11</v>
      </c>
      <c r="G11" s="5">
        <v>3</v>
      </c>
      <c r="H11" s="2">
        <f t="shared" si="0"/>
        <v>1107</v>
      </c>
    </row>
    <row r="12" ht="20" customHeight="1" spans="1:8">
      <c r="A12" s="2">
        <v>10</v>
      </c>
      <c r="B12" s="4">
        <v>44814</v>
      </c>
      <c r="C12" s="2">
        <v>214</v>
      </c>
      <c r="D12" s="5">
        <v>229</v>
      </c>
      <c r="E12" s="5">
        <v>229</v>
      </c>
      <c r="F12" s="5">
        <v>11</v>
      </c>
      <c r="G12" s="5">
        <v>3</v>
      </c>
      <c r="H12" s="2">
        <f t="shared" si="0"/>
        <v>720</v>
      </c>
    </row>
    <row r="13" ht="20" customHeight="1" spans="1:8">
      <c r="A13" s="2">
        <v>11</v>
      </c>
      <c r="B13" s="4">
        <v>44815</v>
      </c>
      <c r="C13" s="2">
        <v>246</v>
      </c>
      <c r="D13" s="5">
        <v>221</v>
      </c>
      <c r="E13" s="5">
        <v>221</v>
      </c>
      <c r="F13" s="5">
        <v>4</v>
      </c>
      <c r="G13" s="5">
        <v>3</v>
      </c>
      <c r="H13" s="2">
        <f t="shared" si="0"/>
        <v>675</v>
      </c>
    </row>
    <row r="14" ht="20" customHeight="1" spans="1:8">
      <c r="A14" s="2">
        <v>12</v>
      </c>
      <c r="B14" s="4">
        <v>44816</v>
      </c>
      <c r="C14" s="2">
        <v>552</v>
      </c>
      <c r="D14" s="5">
        <v>530</v>
      </c>
      <c r="E14" s="5">
        <v>530</v>
      </c>
      <c r="F14" s="5">
        <v>6</v>
      </c>
      <c r="G14" s="5">
        <v>3</v>
      </c>
      <c r="H14" s="2">
        <f t="shared" si="0"/>
        <v>1608</v>
      </c>
    </row>
    <row r="15" ht="20" customHeight="1" spans="1:8">
      <c r="A15" s="2">
        <v>13</v>
      </c>
      <c r="B15" s="4">
        <v>44817</v>
      </c>
      <c r="C15" s="2">
        <v>537</v>
      </c>
      <c r="D15" s="5">
        <v>536</v>
      </c>
      <c r="E15" s="5">
        <v>536</v>
      </c>
      <c r="F15" s="5">
        <v>13</v>
      </c>
      <c r="G15" s="5">
        <v>3</v>
      </c>
      <c r="H15" s="2">
        <f t="shared" si="0"/>
        <v>1647</v>
      </c>
    </row>
    <row r="16" ht="20" customHeight="1" spans="1:8">
      <c r="A16" s="2">
        <v>14</v>
      </c>
      <c r="B16" s="4">
        <v>44818</v>
      </c>
      <c r="C16" s="2">
        <v>552</v>
      </c>
      <c r="D16" s="5">
        <v>559</v>
      </c>
      <c r="E16" s="5">
        <v>559</v>
      </c>
      <c r="F16" s="5">
        <v>43</v>
      </c>
      <c r="G16" s="5">
        <v>3</v>
      </c>
      <c r="H16" s="2">
        <f t="shared" si="0"/>
        <v>1806</v>
      </c>
    </row>
    <row r="17" ht="20" customHeight="1" spans="1:8">
      <c r="A17" s="2">
        <v>15</v>
      </c>
      <c r="B17" s="4">
        <v>44819</v>
      </c>
      <c r="C17" s="2">
        <v>556</v>
      </c>
      <c r="D17" s="5">
        <v>550</v>
      </c>
      <c r="E17" s="5">
        <v>550</v>
      </c>
      <c r="F17" s="5">
        <v>38</v>
      </c>
      <c r="G17" s="5">
        <v>3</v>
      </c>
      <c r="H17" s="2">
        <f t="shared" si="0"/>
        <v>1764</v>
      </c>
    </row>
    <row r="18" ht="20" customHeight="1" spans="1:8">
      <c r="A18" s="2">
        <v>16</v>
      </c>
      <c r="B18" s="4">
        <v>44820</v>
      </c>
      <c r="C18" s="2">
        <v>538</v>
      </c>
      <c r="D18" s="5">
        <v>553</v>
      </c>
      <c r="E18" s="5">
        <v>553</v>
      </c>
      <c r="F18" s="5">
        <v>44</v>
      </c>
      <c r="G18" s="5">
        <v>3</v>
      </c>
      <c r="H18" s="2">
        <f t="shared" si="0"/>
        <v>1791</v>
      </c>
    </row>
    <row r="19" ht="20" customHeight="1" spans="1:8">
      <c r="A19" s="2">
        <v>17</v>
      </c>
      <c r="B19" s="4">
        <v>44821</v>
      </c>
      <c r="C19" s="2">
        <v>262</v>
      </c>
      <c r="D19" s="5">
        <v>285</v>
      </c>
      <c r="E19" s="5">
        <v>285</v>
      </c>
      <c r="F19" s="5">
        <v>42</v>
      </c>
      <c r="G19" s="5">
        <v>3</v>
      </c>
      <c r="H19" s="2">
        <f t="shared" si="0"/>
        <v>981</v>
      </c>
    </row>
    <row r="20" ht="20" customHeight="1" spans="1:8">
      <c r="A20" s="2">
        <v>18</v>
      </c>
      <c r="B20" s="4">
        <v>44822</v>
      </c>
      <c r="C20" s="2">
        <v>295</v>
      </c>
      <c r="D20" s="5">
        <v>301</v>
      </c>
      <c r="E20" s="5">
        <v>301</v>
      </c>
      <c r="F20" s="5">
        <v>42</v>
      </c>
      <c r="G20" s="5">
        <v>3</v>
      </c>
      <c r="H20" s="2">
        <f t="shared" si="0"/>
        <v>1029</v>
      </c>
    </row>
    <row r="21" ht="20" customHeight="1" spans="1:8">
      <c r="A21" s="2">
        <v>19</v>
      </c>
      <c r="B21" s="4">
        <v>44823</v>
      </c>
      <c r="C21" s="2">
        <v>565</v>
      </c>
      <c r="D21" s="5">
        <v>498</v>
      </c>
      <c r="E21" s="5">
        <v>498</v>
      </c>
      <c r="F21" s="5">
        <v>25</v>
      </c>
      <c r="G21" s="5">
        <v>3</v>
      </c>
      <c r="H21" s="2">
        <f t="shared" si="0"/>
        <v>1569</v>
      </c>
    </row>
    <row r="22" ht="20" customHeight="1" spans="1:8">
      <c r="A22" s="2">
        <v>20</v>
      </c>
      <c r="B22" s="4">
        <v>44824</v>
      </c>
      <c r="C22" s="2">
        <v>553</v>
      </c>
      <c r="D22" s="5">
        <v>535</v>
      </c>
      <c r="E22" s="5">
        <v>535</v>
      </c>
      <c r="F22" s="5">
        <v>38</v>
      </c>
      <c r="G22" s="5">
        <v>3</v>
      </c>
      <c r="H22" s="2">
        <f t="shared" si="0"/>
        <v>1719</v>
      </c>
    </row>
    <row r="23" ht="20" customHeight="1" spans="1:8">
      <c r="A23" s="2">
        <v>21</v>
      </c>
      <c r="B23" s="4">
        <v>44825</v>
      </c>
      <c r="C23" s="2">
        <v>531</v>
      </c>
      <c r="D23" s="5">
        <v>552</v>
      </c>
      <c r="E23" s="5">
        <v>552</v>
      </c>
      <c r="F23" s="5">
        <v>145</v>
      </c>
      <c r="G23" s="5">
        <v>3</v>
      </c>
      <c r="H23" s="2">
        <f t="shared" si="0"/>
        <v>2091</v>
      </c>
    </row>
    <row r="24" ht="20" customHeight="1" spans="1:8">
      <c r="A24" s="2">
        <v>22</v>
      </c>
      <c r="B24" s="4">
        <v>44826</v>
      </c>
      <c r="C24" s="2">
        <v>544</v>
      </c>
      <c r="D24" s="5">
        <v>550</v>
      </c>
      <c r="E24" s="5">
        <v>550</v>
      </c>
      <c r="F24" s="5">
        <v>147</v>
      </c>
      <c r="G24" s="5">
        <v>3</v>
      </c>
      <c r="H24" s="2">
        <f t="shared" si="0"/>
        <v>2091</v>
      </c>
    </row>
    <row r="25" ht="20" customHeight="1" spans="1:8">
      <c r="A25" s="2">
        <v>23</v>
      </c>
      <c r="B25" s="4">
        <v>44827</v>
      </c>
      <c r="C25" s="2">
        <v>550</v>
      </c>
      <c r="D25" s="5">
        <v>553</v>
      </c>
      <c r="E25" s="5">
        <v>553</v>
      </c>
      <c r="F25" s="5">
        <v>137</v>
      </c>
      <c r="G25" s="5">
        <v>3</v>
      </c>
      <c r="H25" s="2">
        <f t="shared" si="0"/>
        <v>2070</v>
      </c>
    </row>
    <row r="26" ht="20" customHeight="1" spans="1:8">
      <c r="A26" s="2">
        <v>24</v>
      </c>
      <c r="B26" s="4">
        <v>44828</v>
      </c>
      <c r="C26" s="2">
        <v>253</v>
      </c>
      <c r="D26" s="5">
        <v>288</v>
      </c>
      <c r="E26" s="5">
        <v>288</v>
      </c>
      <c r="F26" s="5">
        <v>125</v>
      </c>
      <c r="G26" s="5">
        <v>3</v>
      </c>
      <c r="H26" s="2">
        <f t="shared" si="0"/>
        <v>1239</v>
      </c>
    </row>
    <row r="27" ht="20" customHeight="1" spans="1:8">
      <c r="A27" s="2">
        <v>25</v>
      </c>
      <c r="B27" s="4">
        <v>44829</v>
      </c>
      <c r="C27" s="2">
        <v>270</v>
      </c>
      <c r="D27" s="5">
        <v>277</v>
      </c>
      <c r="E27" s="5">
        <v>277</v>
      </c>
      <c r="F27" s="5">
        <v>121</v>
      </c>
      <c r="G27" s="5">
        <v>3</v>
      </c>
      <c r="H27" s="2">
        <f t="shared" si="0"/>
        <v>1194</v>
      </c>
    </row>
    <row r="28" ht="20" customHeight="1" spans="1:8">
      <c r="A28" s="2">
        <v>26</v>
      </c>
      <c r="B28" s="4">
        <v>44830</v>
      </c>
      <c r="C28" s="2">
        <v>573</v>
      </c>
      <c r="D28" s="5">
        <v>545</v>
      </c>
      <c r="E28" s="5">
        <v>545</v>
      </c>
      <c r="F28" s="5">
        <v>121</v>
      </c>
      <c r="G28" s="5">
        <v>3</v>
      </c>
      <c r="H28" s="2">
        <f t="shared" si="0"/>
        <v>1998</v>
      </c>
    </row>
    <row r="29" ht="20" customHeight="1" spans="1:8">
      <c r="A29" s="2">
        <v>27</v>
      </c>
      <c r="B29" s="4">
        <v>44831</v>
      </c>
      <c r="C29" s="2">
        <v>556</v>
      </c>
      <c r="D29" s="5">
        <v>554</v>
      </c>
      <c r="E29" s="5">
        <v>554</v>
      </c>
      <c r="F29" s="5">
        <v>123</v>
      </c>
      <c r="G29" s="5">
        <v>3</v>
      </c>
      <c r="H29" s="2">
        <f t="shared" si="0"/>
        <v>2031</v>
      </c>
    </row>
    <row r="30" ht="20" customHeight="1" spans="1:8">
      <c r="A30" s="2">
        <v>28</v>
      </c>
      <c r="B30" s="4">
        <v>44832</v>
      </c>
      <c r="C30" s="2">
        <v>563</v>
      </c>
      <c r="D30" s="5">
        <v>582</v>
      </c>
      <c r="E30" s="5">
        <v>582</v>
      </c>
      <c r="F30" s="5">
        <v>143</v>
      </c>
      <c r="G30" s="5">
        <v>3</v>
      </c>
      <c r="H30" s="2">
        <f t="shared" si="0"/>
        <v>2175</v>
      </c>
    </row>
    <row r="31" ht="20" customHeight="1" spans="1:8">
      <c r="A31" s="2">
        <v>29</v>
      </c>
      <c r="B31" s="4">
        <v>44833</v>
      </c>
      <c r="C31" s="2">
        <v>572</v>
      </c>
      <c r="D31" s="5">
        <v>579</v>
      </c>
      <c r="E31" s="5">
        <v>579</v>
      </c>
      <c r="F31" s="5">
        <v>141</v>
      </c>
      <c r="G31" s="5">
        <v>3</v>
      </c>
      <c r="H31" s="2">
        <f t="shared" si="0"/>
        <v>2160</v>
      </c>
    </row>
    <row r="32" ht="20" customHeight="1" spans="1:8">
      <c r="A32" s="2">
        <v>30</v>
      </c>
      <c r="B32" s="4">
        <v>44834</v>
      </c>
      <c r="C32" s="2">
        <v>340</v>
      </c>
      <c r="D32" s="5">
        <v>373</v>
      </c>
      <c r="E32" s="5">
        <v>373</v>
      </c>
      <c r="F32" s="5">
        <v>114</v>
      </c>
      <c r="G32" s="5">
        <v>3</v>
      </c>
      <c r="H32" s="2">
        <f t="shared" si="0"/>
        <v>1461</v>
      </c>
    </row>
    <row r="33" ht="20" customHeight="1" spans="1:8">
      <c r="A33" s="5" t="s">
        <v>22</v>
      </c>
      <c r="B33" s="7"/>
      <c r="C33" s="5">
        <f>SUM(C3:C32)</f>
        <v>13911</v>
      </c>
      <c r="D33" s="5">
        <f>SUM(D3:D32)</f>
        <v>14007</v>
      </c>
      <c r="E33" s="5">
        <f>SUM(E3:E32)</f>
        <v>14007</v>
      </c>
      <c r="F33" s="5">
        <f>SUM(F3:F32)</f>
        <v>1767</v>
      </c>
      <c r="G33" s="5">
        <v>3</v>
      </c>
      <c r="H33" s="2">
        <f t="shared" si="0"/>
        <v>47322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I13" sqref="I13"/>
    </sheetView>
  </sheetViews>
  <sheetFormatPr defaultColWidth="13.375" defaultRowHeight="22" customHeight="1" outlineLevelCol="7"/>
  <cols>
    <col min="1" max="1" width="7.5" customWidth="1"/>
    <col min="2" max="2" width="11.625" customWidth="1"/>
    <col min="3" max="3" width="11.375" customWidth="1"/>
    <col min="4" max="4" width="11.5" customWidth="1"/>
    <col min="5" max="5" width="10" customWidth="1"/>
    <col min="6" max="6" width="9.5" customWidth="1"/>
    <col min="7" max="7" width="14.25" customWidth="1"/>
    <col min="8" max="8" width="10.875" customWidth="1"/>
    <col min="9" max="16384" width="13.375" customWidth="1"/>
  </cols>
  <sheetData>
    <row r="1" ht="33" customHeight="1" spans="1:8">
      <c r="A1" s="1" t="s">
        <v>30</v>
      </c>
      <c r="B1" s="1"/>
      <c r="C1" s="1"/>
      <c r="D1" s="1"/>
      <c r="E1" s="1"/>
      <c r="F1" s="1"/>
      <c r="G1" s="1"/>
      <c r="H1" s="1"/>
    </row>
    <row r="2" ht="26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19" customHeight="1" spans="1:8">
      <c r="A3" s="2">
        <v>1</v>
      </c>
      <c r="B3" s="4">
        <v>44835</v>
      </c>
      <c r="C3" s="2">
        <v>232</v>
      </c>
      <c r="D3" s="2">
        <v>251</v>
      </c>
      <c r="E3" s="2">
        <v>232</v>
      </c>
      <c r="F3" s="5">
        <v>96</v>
      </c>
      <c r="G3" s="2">
        <v>3</v>
      </c>
      <c r="H3" s="2">
        <f>(E3+F3)*G3</f>
        <v>984</v>
      </c>
    </row>
    <row r="4" ht="19" customHeight="1" spans="1:8">
      <c r="A4" s="2">
        <v>2</v>
      </c>
      <c r="B4" s="4">
        <v>44836</v>
      </c>
      <c r="C4" s="2">
        <v>256</v>
      </c>
      <c r="D4" s="2">
        <v>259</v>
      </c>
      <c r="E4" s="2">
        <v>256</v>
      </c>
      <c r="F4" s="5">
        <v>97</v>
      </c>
      <c r="G4" s="5">
        <v>3</v>
      </c>
      <c r="H4" s="2">
        <f t="shared" ref="H4:H34" si="0">(E4+F4)*G4</f>
        <v>1059</v>
      </c>
    </row>
    <row r="5" ht="19" customHeight="1" spans="1:8">
      <c r="A5" s="2">
        <v>3</v>
      </c>
      <c r="B5" s="4">
        <v>44837</v>
      </c>
      <c r="C5" s="2">
        <v>590</v>
      </c>
      <c r="D5" s="2">
        <v>570</v>
      </c>
      <c r="E5" s="2">
        <v>590</v>
      </c>
      <c r="F5" s="5">
        <v>94</v>
      </c>
      <c r="G5" s="5">
        <v>3</v>
      </c>
      <c r="H5" s="2">
        <f t="shared" si="0"/>
        <v>2052</v>
      </c>
    </row>
    <row r="6" ht="19" customHeight="1" spans="1:8">
      <c r="A6" s="2">
        <v>4</v>
      </c>
      <c r="B6" s="4">
        <v>44838</v>
      </c>
      <c r="C6" s="2">
        <v>584</v>
      </c>
      <c r="D6" s="2">
        <v>591</v>
      </c>
      <c r="E6" s="2">
        <v>584</v>
      </c>
      <c r="F6" s="5">
        <v>105</v>
      </c>
      <c r="G6" s="5">
        <v>3</v>
      </c>
      <c r="H6" s="2">
        <f t="shared" si="0"/>
        <v>2067</v>
      </c>
    </row>
    <row r="7" ht="19" customHeight="1" spans="1:8">
      <c r="A7" s="2">
        <v>5</v>
      </c>
      <c r="B7" s="4">
        <v>44839</v>
      </c>
      <c r="C7" s="2">
        <v>613</v>
      </c>
      <c r="D7" s="2">
        <v>591</v>
      </c>
      <c r="E7" s="2">
        <v>613</v>
      </c>
      <c r="F7" s="5">
        <v>104</v>
      </c>
      <c r="G7" s="5">
        <v>3</v>
      </c>
      <c r="H7" s="2">
        <f t="shared" si="0"/>
        <v>2151</v>
      </c>
    </row>
    <row r="8" ht="19" customHeight="1" spans="1:8">
      <c r="A8" s="2">
        <v>6</v>
      </c>
      <c r="B8" s="4">
        <v>44840</v>
      </c>
      <c r="C8" s="2">
        <v>603</v>
      </c>
      <c r="D8" s="5">
        <v>616</v>
      </c>
      <c r="E8" s="2">
        <v>603</v>
      </c>
      <c r="F8" s="5">
        <v>94</v>
      </c>
      <c r="G8" s="5">
        <v>3</v>
      </c>
      <c r="H8" s="2">
        <f t="shared" si="0"/>
        <v>2091</v>
      </c>
    </row>
    <row r="9" ht="19" customHeight="1" spans="1:8">
      <c r="A9" s="2">
        <v>7</v>
      </c>
      <c r="B9" s="4">
        <v>44841</v>
      </c>
      <c r="C9" s="2">
        <v>594</v>
      </c>
      <c r="D9" s="5">
        <v>607</v>
      </c>
      <c r="E9" s="2">
        <v>594</v>
      </c>
      <c r="F9" s="5">
        <v>93</v>
      </c>
      <c r="G9" s="5">
        <v>3</v>
      </c>
      <c r="H9" s="2">
        <f t="shared" si="0"/>
        <v>2061</v>
      </c>
    </row>
    <row r="10" ht="19" customHeight="1" spans="1:8">
      <c r="A10" s="2">
        <v>8</v>
      </c>
      <c r="B10" s="4">
        <v>44842</v>
      </c>
      <c r="C10" s="2">
        <v>332</v>
      </c>
      <c r="D10" s="5">
        <v>342</v>
      </c>
      <c r="E10" s="2">
        <v>332</v>
      </c>
      <c r="F10" s="5">
        <v>106</v>
      </c>
      <c r="G10" s="5">
        <v>3</v>
      </c>
      <c r="H10" s="2">
        <f t="shared" si="0"/>
        <v>1314</v>
      </c>
    </row>
    <row r="11" ht="19" customHeight="1" spans="1:8">
      <c r="A11" s="2">
        <v>9</v>
      </c>
      <c r="B11" s="4">
        <v>44843</v>
      </c>
      <c r="C11" s="2">
        <v>332</v>
      </c>
      <c r="D11" s="5">
        <v>319</v>
      </c>
      <c r="E11" s="2">
        <v>332</v>
      </c>
      <c r="F11" s="5">
        <v>101</v>
      </c>
      <c r="G11" s="5">
        <v>3</v>
      </c>
      <c r="H11" s="2">
        <f t="shared" si="0"/>
        <v>1299</v>
      </c>
    </row>
    <row r="12" ht="19" customHeight="1" spans="1:8">
      <c r="A12" s="2">
        <v>10</v>
      </c>
      <c r="B12" s="4">
        <v>44844</v>
      </c>
      <c r="C12" s="2">
        <v>587</v>
      </c>
      <c r="D12" s="5">
        <v>574</v>
      </c>
      <c r="E12" s="2">
        <v>587</v>
      </c>
      <c r="F12" s="5">
        <v>106</v>
      </c>
      <c r="G12" s="5">
        <v>3</v>
      </c>
      <c r="H12" s="2">
        <f t="shared" si="0"/>
        <v>2079</v>
      </c>
    </row>
    <row r="13" ht="19" customHeight="1" spans="1:8">
      <c r="A13" s="2">
        <v>11</v>
      </c>
      <c r="B13" s="4">
        <v>44845</v>
      </c>
      <c r="C13" s="2">
        <v>572</v>
      </c>
      <c r="D13" s="5">
        <v>569</v>
      </c>
      <c r="E13" s="2">
        <v>572</v>
      </c>
      <c r="F13" s="5">
        <v>126</v>
      </c>
      <c r="G13" s="5">
        <v>3</v>
      </c>
      <c r="H13" s="2">
        <f t="shared" si="0"/>
        <v>2094</v>
      </c>
    </row>
    <row r="14" ht="19" customHeight="1" spans="1:8">
      <c r="A14" s="2">
        <v>12</v>
      </c>
      <c r="B14" s="4">
        <v>44846</v>
      </c>
      <c r="C14" s="2">
        <v>569</v>
      </c>
      <c r="D14" s="5">
        <v>572</v>
      </c>
      <c r="E14" s="2">
        <v>569</v>
      </c>
      <c r="F14" s="5">
        <v>118</v>
      </c>
      <c r="G14" s="5">
        <v>3</v>
      </c>
      <c r="H14" s="2">
        <f t="shared" si="0"/>
        <v>2061</v>
      </c>
    </row>
    <row r="15" ht="19" customHeight="1" spans="1:8">
      <c r="A15" s="2">
        <v>13</v>
      </c>
      <c r="B15" s="4">
        <v>44847</v>
      </c>
      <c r="C15" s="2">
        <v>577</v>
      </c>
      <c r="D15" s="5">
        <v>547</v>
      </c>
      <c r="E15" s="2">
        <v>577</v>
      </c>
      <c r="F15" s="5">
        <v>131</v>
      </c>
      <c r="G15" s="5">
        <v>3</v>
      </c>
      <c r="H15" s="2">
        <f t="shared" si="0"/>
        <v>2124</v>
      </c>
    </row>
    <row r="16" ht="19" customHeight="1" spans="1:8">
      <c r="A16" s="2">
        <v>14</v>
      </c>
      <c r="B16" s="4">
        <v>44848</v>
      </c>
      <c r="C16" s="2">
        <v>530</v>
      </c>
      <c r="D16" s="5">
        <v>550</v>
      </c>
      <c r="E16" s="2">
        <v>530</v>
      </c>
      <c r="F16" s="5">
        <v>147</v>
      </c>
      <c r="G16" s="5">
        <v>3</v>
      </c>
      <c r="H16" s="2">
        <f t="shared" si="0"/>
        <v>2031</v>
      </c>
    </row>
    <row r="17" ht="19" customHeight="1" spans="1:8">
      <c r="A17" s="2">
        <v>15</v>
      </c>
      <c r="B17" s="4">
        <v>44849</v>
      </c>
      <c r="C17" s="2">
        <v>296</v>
      </c>
      <c r="D17" s="5">
        <v>320</v>
      </c>
      <c r="E17" s="2">
        <v>296</v>
      </c>
      <c r="F17" s="5">
        <v>139</v>
      </c>
      <c r="G17" s="5">
        <v>3</v>
      </c>
      <c r="H17" s="2">
        <f t="shared" si="0"/>
        <v>1305</v>
      </c>
    </row>
    <row r="18" ht="19" customHeight="1" spans="1:8">
      <c r="A18" s="2">
        <v>16</v>
      </c>
      <c r="B18" s="4">
        <v>44850</v>
      </c>
      <c r="C18" s="2">
        <v>296</v>
      </c>
      <c r="D18" s="5">
        <v>292</v>
      </c>
      <c r="E18" s="2">
        <v>296</v>
      </c>
      <c r="F18" s="5">
        <v>154</v>
      </c>
      <c r="G18" s="5">
        <v>3</v>
      </c>
      <c r="H18" s="2">
        <f t="shared" si="0"/>
        <v>1350</v>
      </c>
    </row>
    <row r="19" ht="19" customHeight="1" spans="1:8">
      <c r="A19" s="2">
        <v>17</v>
      </c>
      <c r="B19" s="4">
        <v>44851</v>
      </c>
      <c r="C19" s="2">
        <v>502</v>
      </c>
      <c r="D19" s="5">
        <v>446</v>
      </c>
      <c r="E19" s="2">
        <v>502</v>
      </c>
      <c r="F19" s="5">
        <v>174</v>
      </c>
      <c r="G19" s="5">
        <v>3</v>
      </c>
      <c r="H19" s="2">
        <f t="shared" si="0"/>
        <v>2028</v>
      </c>
    </row>
    <row r="20" ht="19" customHeight="1" spans="1:8">
      <c r="A20" s="2">
        <v>18</v>
      </c>
      <c r="B20" s="4">
        <v>44852</v>
      </c>
      <c r="C20" s="2">
        <v>518</v>
      </c>
      <c r="D20" s="5">
        <v>334</v>
      </c>
      <c r="E20" s="2">
        <v>518</v>
      </c>
      <c r="F20" s="5">
        <v>288</v>
      </c>
      <c r="G20" s="5">
        <v>3</v>
      </c>
      <c r="H20" s="2">
        <f t="shared" si="0"/>
        <v>2418</v>
      </c>
    </row>
    <row r="21" ht="19" customHeight="1" spans="1:8">
      <c r="A21" s="2">
        <v>19</v>
      </c>
      <c r="B21" s="4">
        <v>44853</v>
      </c>
      <c r="C21" s="2">
        <v>27</v>
      </c>
      <c r="D21" s="5">
        <v>13</v>
      </c>
      <c r="E21" s="2">
        <v>27</v>
      </c>
      <c r="F21" s="5">
        <v>630</v>
      </c>
      <c r="G21" s="5">
        <v>3</v>
      </c>
      <c r="H21" s="2">
        <f t="shared" si="0"/>
        <v>1971</v>
      </c>
    </row>
    <row r="22" ht="19" customHeight="1" spans="1:8">
      <c r="A22" s="2">
        <v>20</v>
      </c>
      <c r="B22" s="4">
        <v>44854</v>
      </c>
      <c r="C22" s="2">
        <v>8</v>
      </c>
      <c r="D22" s="5">
        <v>3</v>
      </c>
      <c r="E22" s="2">
        <v>8</v>
      </c>
      <c r="F22" s="5">
        <v>651</v>
      </c>
      <c r="G22" s="5">
        <v>3</v>
      </c>
      <c r="H22" s="2">
        <f t="shared" si="0"/>
        <v>1977</v>
      </c>
    </row>
    <row r="23" ht="19" customHeight="1" spans="1:8">
      <c r="A23" s="2">
        <v>21</v>
      </c>
      <c r="B23" s="4">
        <v>44855</v>
      </c>
      <c r="C23" s="2">
        <v>2</v>
      </c>
      <c r="D23" s="5">
        <v>2</v>
      </c>
      <c r="E23" s="2">
        <v>2</v>
      </c>
      <c r="F23" s="5">
        <v>656</v>
      </c>
      <c r="G23" s="5">
        <v>3</v>
      </c>
      <c r="H23" s="2">
        <f t="shared" si="0"/>
        <v>1974</v>
      </c>
    </row>
    <row r="24" ht="19" customHeight="1" spans="1:8">
      <c r="A24" s="2">
        <v>22</v>
      </c>
      <c r="B24" s="4">
        <v>44856</v>
      </c>
      <c r="C24" s="2">
        <v>2</v>
      </c>
      <c r="D24" s="5">
        <v>3</v>
      </c>
      <c r="E24" s="2">
        <v>2</v>
      </c>
      <c r="F24" s="5">
        <v>655</v>
      </c>
      <c r="G24" s="5">
        <v>3</v>
      </c>
      <c r="H24" s="2">
        <f t="shared" si="0"/>
        <v>1971</v>
      </c>
    </row>
    <row r="25" ht="19" customHeight="1" spans="1:8">
      <c r="A25" s="2">
        <v>23</v>
      </c>
      <c r="B25" s="4">
        <v>44857</v>
      </c>
      <c r="C25" s="2">
        <v>3</v>
      </c>
      <c r="D25" s="5">
        <v>2</v>
      </c>
      <c r="E25" s="2">
        <v>3</v>
      </c>
      <c r="F25" s="5">
        <v>655</v>
      </c>
      <c r="G25" s="5">
        <v>3</v>
      </c>
      <c r="H25" s="2">
        <f t="shared" si="0"/>
        <v>1974</v>
      </c>
    </row>
    <row r="26" ht="19" customHeight="1" spans="1:8">
      <c r="A26" s="2">
        <v>24</v>
      </c>
      <c r="B26" s="4">
        <v>44858</v>
      </c>
      <c r="C26" s="2">
        <v>2</v>
      </c>
      <c r="D26" s="5">
        <v>4</v>
      </c>
      <c r="E26" s="2">
        <v>2</v>
      </c>
      <c r="F26" s="5">
        <v>654</v>
      </c>
      <c r="G26" s="5">
        <v>3</v>
      </c>
      <c r="H26" s="2">
        <f t="shared" si="0"/>
        <v>1968</v>
      </c>
    </row>
    <row r="27" ht="19" customHeight="1" spans="1:8">
      <c r="A27" s="2">
        <v>25</v>
      </c>
      <c r="B27" s="4">
        <v>44859</v>
      </c>
      <c r="C27" s="2">
        <v>1</v>
      </c>
      <c r="D27" s="5">
        <v>3</v>
      </c>
      <c r="E27" s="2">
        <v>1</v>
      </c>
      <c r="F27" s="5">
        <v>652</v>
      </c>
      <c r="G27" s="5">
        <v>3</v>
      </c>
      <c r="H27" s="2">
        <f t="shared" si="0"/>
        <v>1959</v>
      </c>
    </row>
    <row r="28" ht="19" customHeight="1" spans="1:8">
      <c r="A28" s="2">
        <v>26</v>
      </c>
      <c r="B28" s="4">
        <v>44860</v>
      </c>
      <c r="C28" s="2">
        <v>3</v>
      </c>
      <c r="D28" s="5">
        <v>4</v>
      </c>
      <c r="E28" s="2">
        <v>3</v>
      </c>
      <c r="F28" s="5">
        <v>651</v>
      </c>
      <c r="G28" s="5">
        <v>3</v>
      </c>
      <c r="H28" s="2">
        <f t="shared" si="0"/>
        <v>1962</v>
      </c>
    </row>
    <row r="29" ht="19" customHeight="1" spans="1:8">
      <c r="A29" s="2">
        <v>27</v>
      </c>
      <c r="B29" s="4">
        <v>44861</v>
      </c>
      <c r="C29" s="2">
        <v>2</v>
      </c>
      <c r="D29" s="5">
        <v>4</v>
      </c>
      <c r="E29" s="2">
        <v>2</v>
      </c>
      <c r="F29" s="5">
        <v>648</v>
      </c>
      <c r="G29" s="5">
        <v>3</v>
      </c>
      <c r="H29" s="2">
        <f t="shared" si="0"/>
        <v>1950</v>
      </c>
    </row>
    <row r="30" ht="19" customHeight="1" spans="1:8">
      <c r="A30" s="2">
        <v>28</v>
      </c>
      <c r="B30" s="4">
        <v>44862</v>
      </c>
      <c r="C30" s="2">
        <v>2</v>
      </c>
      <c r="D30" s="5">
        <v>3</v>
      </c>
      <c r="E30" s="2">
        <v>2</v>
      </c>
      <c r="F30" s="5">
        <v>648</v>
      </c>
      <c r="G30" s="5">
        <v>3</v>
      </c>
      <c r="H30" s="2">
        <f t="shared" si="0"/>
        <v>1950</v>
      </c>
    </row>
    <row r="31" ht="19" customHeight="1" spans="1:8">
      <c r="A31" s="2">
        <v>29</v>
      </c>
      <c r="B31" s="4">
        <v>44863</v>
      </c>
      <c r="C31" s="2">
        <v>1</v>
      </c>
      <c r="D31" s="5">
        <v>2</v>
      </c>
      <c r="E31" s="2">
        <v>1</v>
      </c>
      <c r="F31" s="5">
        <v>647</v>
      </c>
      <c r="G31" s="5">
        <v>3</v>
      </c>
      <c r="H31" s="2">
        <f t="shared" si="0"/>
        <v>1944</v>
      </c>
    </row>
    <row r="32" ht="19" customHeight="1" spans="1:8">
      <c r="A32" s="2">
        <v>30</v>
      </c>
      <c r="B32" s="4">
        <v>44864</v>
      </c>
      <c r="C32" s="2">
        <v>2</v>
      </c>
      <c r="D32" s="5">
        <v>2</v>
      </c>
      <c r="E32" s="2">
        <v>2</v>
      </c>
      <c r="F32" s="5">
        <v>647</v>
      </c>
      <c r="G32" s="5">
        <v>3</v>
      </c>
      <c r="H32" s="2">
        <f t="shared" si="0"/>
        <v>1947</v>
      </c>
    </row>
    <row r="33" ht="19" customHeight="1" spans="1:8">
      <c r="A33" s="2">
        <v>31</v>
      </c>
      <c r="B33" s="4">
        <v>44865</v>
      </c>
      <c r="C33" s="2">
        <v>1</v>
      </c>
      <c r="D33" s="6">
        <v>4</v>
      </c>
      <c r="E33" s="2">
        <v>1</v>
      </c>
      <c r="F33" s="5">
        <v>644</v>
      </c>
      <c r="G33" s="6">
        <v>3</v>
      </c>
      <c r="H33" s="2">
        <f t="shared" si="0"/>
        <v>1935</v>
      </c>
    </row>
    <row r="34" ht="19" customHeight="1" spans="1:8">
      <c r="A34" s="5" t="s">
        <v>22</v>
      </c>
      <c r="B34" s="7"/>
      <c r="C34" s="5">
        <f t="shared" ref="C34:F34" si="1">SUM(C3:C33)</f>
        <v>8639</v>
      </c>
      <c r="D34" s="5">
        <f t="shared" si="1"/>
        <v>8399</v>
      </c>
      <c r="E34" s="5">
        <f t="shared" si="1"/>
        <v>8639</v>
      </c>
      <c r="F34" s="5">
        <f t="shared" si="1"/>
        <v>10711</v>
      </c>
      <c r="G34" s="5">
        <v>3</v>
      </c>
      <c r="H34" s="2">
        <f t="shared" si="0"/>
        <v>58050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J15" sqref="J15"/>
    </sheetView>
  </sheetViews>
  <sheetFormatPr defaultColWidth="14.5" defaultRowHeight="22" customHeight="1" outlineLevelCol="7"/>
  <cols>
    <col min="1" max="1" width="7.25" customWidth="1"/>
    <col min="2" max="2" width="12" customWidth="1"/>
    <col min="3" max="3" width="10.625" customWidth="1"/>
    <col min="4" max="4" width="11.625" customWidth="1"/>
    <col min="5" max="5" width="10" customWidth="1"/>
    <col min="6" max="6" width="10.125" customWidth="1"/>
    <col min="7" max="7" width="13.875" customWidth="1"/>
    <col min="8" max="8" width="11.5" customWidth="1"/>
    <col min="9" max="16384" width="14.5" customWidth="1"/>
  </cols>
  <sheetData>
    <row r="1" ht="39" customHeight="1" spans="1:8">
      <c r="A1" s="1" t="s">
        <v>31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19" customHeight="1" spans="1:8">
      <c r="A3" s="2">
        <v>1</v>
      </c>
      <c r="B3" s="4">
        <v>44866</v>
      </c>
      <c r="C3" s="2">
        <v>2</v>
      </c>
      <c r="D3" s="2">
        <v>1</v>
      </c>
      <c r="E3" s="2">
        <v>1</v>
      </c>
      <c r="F3" s="5">
        <v>644</v>
      </c>
      <c r="G3" s="2">
        <v>3</v>
      </c>
      <c r="H3" s="2">
        <f>(E3+F3)*G3</f>
        <v>1935</v>
      </c>
    </row>
    <row r="4" ht="19" customHeight="1" spans="1:8">
      <c r="A4" s="2">
        <v>2</v>
      </c>
      <c r="B4" s="4">
        <v>44867</v>
      </c>
      <c r="C4" s="2">
        <v>2</v>
      </c>
      <c r="D4" s="2">
        <v>7</v>
      </c>
      <c r="E4" s="2">
        <v>7</v>
      </c>
      <c r="F4" s="5">
        <v>640</v>
      </c>
      <c r="G4" s="5">
        <v>3</v>
      </c>
      <c r="H4" s="2">
        <f t="shared" ref="H4:H33" si="0">(E4+F4)*G4</f>
        <v>1941</v>
      </c>
    </row>
    <row r="5" ht="19" customHeight="1" spans="1:8">
      <c r="A5" s="2">
        <v>3</v>
      </c>
      <c r="B5" s="4">
        <v>44868</v>
      </c>
      <c r="C5" s="2">
        <v>1</v>
      </c>
      <c r="D5" s="2">
        <v>4</v>
      </c>
      <c r="E5" s="2">
        <v>4</v>
      </c>
      <c r="F5" s="5">
        <v>637</v>
      </c>
      <c r="G5" s="5">
        <v>3</v>
      </c>
      <c r="H5" s="2">
        <f t="shared" si="0"/>
        <v>1923</v>
      </c>
    </row>
    <row r="6" ht="19" customHeight="1" spans="1:8">
      <c r="A6" s="2">
        <v>4</v>
      </c>
      <c r="B6" s="4">
        <v>44869</v>
      </c>
      <c r="C6" s="2">
        <v>2</v>
      </c>
      <c r="D6" s="2">
        <v>3</v>
      </c>
      <c r="E6" s="2">
        <v>3</v>
      </c>
      <c r="F6" s="5">
        <v>635</v>
      </c>
      <c r="G6" s="5">
        <v>3</v>
      </c>
      <c r="H6" s="2">
        <f t="shared" si="0"/>
        <v>1914</v>
      </c>
    </row>
    <row r="7" ht="19" customHeight="1" spans="1:8">
      <c r="A7" s="2">
        <v>5</v>
      </c>
      <c r="B7" s="4">
        <v>44870</v>
      </c>
      <c r="C7" s="2">
        <v>71</v>
      </c>
      <c r="D7" s="2">
        <v>427</v>
      </c>
      <c r="E7" s="2">
        <v>427</v>
      </c>
      <c r="F7" s="5">
        <v>266</v>
      </c>
      <c r="G7" s="5">
        <v>3</v>
      </c>
      <c r="H7" s="2">
        <f t="shared" si="0"/>
        <v>2079</v>
      </c>
    </row>
    <row r="8" ht="19" customHeight="1" spans="1:8">
      <c r="A8" s="2">
        <v>6</v>
      </c>
      <c r="B8" s="4">
        <v>44871</v>
      </c>
      <c r="C8" s="2">
        <v>250</v>
      </c>
      <c r="D8" s="5">
        <v>243</v>
      </c>
      <c r="E8" s="5">
        <v>243</v>
      </c>
      <c r="F8" s="5">
        <v>211</v>
      </c>
      <c r="G8" s="5">
        <v>3</v>
      </c>
      <c r="H8" s="2">
        <f t="shared" si="0"/>
        <v>1362</v>
      </c>
    </row>
    <row r="9" ht="19" customHeight="1" spans="1:8">
      <c r="A9" s="2">
        <v>7</v>
      </c>
      <c r="B9" s="4">
        <v>44872</v>
      </c>
      <c r="C9" s="2">
        <v>460</v>
      </c>
      <c r="D9" s="5">
        <v>427</v>
      </c>
      <c r="E9" s="5">
        <v>427</v>
      </c>
      <c r="F9" s="5">
        <v>213</v>
      </c>
      <c r="G9" s="5">
        <v>3</v>
      </c>
      <c r="H9" s="2">
        <f t="shared" si="0"/>
        <v>1920</v>
      </c>
    </row>
    <row r="10" ht="19" customHeight="1" spans="1:8">
      <c r="A10" s="2">
        <v>8</v>
      </c>
      <c r="B10" s="4">
        <v>44873</v>
      </c>
      <c r="C10" s="2">
        <v>425</v>
      </c>
      <c r="D10" s="5">
        <v>423</v>
      </c>
      <c r="E10" s="5">
        <v>423</v>
      </c>
      <c r="F10" s="5">
        <v>230</v>
      </c>
      <c r="G10" s="5">
        <v>3</v>
      </c>
      <c r="H10" s="2">
        <f t="shared" si="0"/>
        <v>1959</v>
      </c>
    </row>
    <row r="11" ht="19" customHeight="1" spans="1:8">
      <c r="A11" s="2">
        <v>9</v>
      </c>
      <c r="B11" s="4">
        <v>44874</v>
      </c>
      <c r="C11" s="2">
        <v>434</v>
      </c>
      <c r="D11" s="5">
        <v>455</v>
      </c>
      <c r="E11" s="5">
        <v>455</v>
      </c>
      <c r="F11" s="5">
        <v>209</v>
      </c>
      <c r="G11" s="5">
        <v>3</v>
      </c>
      <c r="H11" s="2">
        <f t="shared" si="0"/>
        <v>1992</v>
      </c>
    </row>
    <row r="12" ht="19" customHeight="1" spans="1:8">
      <c r="A12" s="2">
        <v>10</v>
      </c>
      <c r="B12" s="4">
        <v>44875</v>
      </c>
      <c r="C12" s="2">
        <v>444</v>
      </c>
      <c r="D12" s="5">
        <v>441</v>
      </c>
      <c r="E12" s="5">
        <v>441</v>
      </c>
      <c r="F12" s="5">
        <v>217</v>
      </c>
      <c r="G12" s="5">
        <v>3</v>
      </c>
      <c r="H12" s="2">
        <f t="shared" si="0"/>
        <v>1974</v>
      </c>
    </row>
    <row r="13" ht="19" customHeight="1" spans="1:8">
      <c r="A13" s="2">
        <v>11</v>
      </c>
      <c r="B13" s="4">
        <v>44876</v>
      </c>
      <c r="C13" s="2">
        <v>605</v>
      </c>
      <c r="D13" s="5">
        <v>489</v>
      </c>
      <c r="E13" s="5">
        <v>489</v>
      </c>
      <c r="F13" s="5">
        <v>270</v>
      </c>
      <c r="G13" s="5">
        <v>3</v>
      </c>
      <c r="H13" s="2">
        <f t="shared" si="0"/>
        <v>2277</v>
      </c>
    </row>
    <row r="14" ht="19" customHeight="1" spans="1:8">
      <c r="A14" s="2">
        <v>12</v>
      </c>
      <c r="B14" s="4">
        <v>44877</v>
      </c>
      <c r="C14" s="2">
        <v>12</v>
      </c>
      <c r="D14" s="5">
        <v>3</v>
      </c>
      <c r="E14" s="5">
        <v>3</v>
      </c>
      <c r="F14" s="5">
        <v>593</v>
      </c>
      <c r="G14" s="5">
        <v>3</v>
      </c>
      <c r="H14" s="2">
        <f t="shared" si="0"/>
        <v>1788</v>
      </c>
    </row>
    <row r="15" ht="19" customHeight="1" spans="1:8">
      <c r="A15" s="2">
        <v>13</v>
      </c>
      <c r="B15" s="4">
        <v>44878</v>
      </c>
      <c r="C15" s="2">
        <v>5</v>
      </c>
      <c r="D15" s="5">
        <v>3</v>
      </c>
      <c r="E15" s="5">
        <v>3</v>
      </c>
      <c r="F15" s="5">
        <v>602</v>
      </c>
      <c r="G15" s="5">
        <v>3</v>
      </c>
      <c r="H15" s="2">
        <f t="shared" si="0"/>
        <v>1815</v>
      </c>
    </row>
    <row r="16" ht="19" customHeight="1" spans="1:8">
      <c r="A16" s="2">
        <v>14</v>
      </c>
      <c r="B16" s="4">
        <v>44879</v>
      </c>
      <c r="C16" s="2">
        <v>2</v>
      </c>
      <c r="D16" s="5">
        <v>3</v>
      </c>
      <c r="E16" s="5">
        <v>3</v>
      </c>
      <c r="F16" s="5">
        <v>604</v>
      </c>
      <c r="G16" s="5">
        <v>3</v>
      </c>
      <c r="H16" s="2">
        <f t="shared" si="0"/>
        <v>1821</v>
      </c>
    </row>
    <row r="17" ht="19" customHeight="1" spans="1:8">
      <c r="A17" s="2">
        <v>15</v>
      </c>
      <c r="B17" s="4">
        <v>44880</v>
      </c>
      <c r="C17" s="2">
        <v>6</v>
      </c>
      <c r="D17" s="5">
        <v>8</v>
      </c>
      <c r="E17" s="5">
        <v>8</v>
      </c>
      <c r="F17" s="5">
        <v>603</v>
      </c>
      <c r="G17" s="5">
        <v>3</v>
      </c>
      <c r="H17" s="2">
        <f t="shared" si="0"/>
        <v>1833</v>
      </c>
    </row>
    <row r="18" ht="19" customHeight="1" spans="1:8">
      <c r="A18" s="2">
        <v>16</v>
      </c>
      <c r="B18" s="4">
        <v>44881</v>
      </c>
      <c r="C18" s="2">
        <v>5</v>
      </c>
      <c r="D18" s="5">
        <v>6</v>
      </c>
      <c r="E18" s="5">
        <v>6</v>
      </c>
      <c r="F18" s="5">
        <v>603</v>
      </c>
      <c r="G18" s="5">
        <v>3</v>
      </c>
      <c r="H18" s="2">
        <f t="shared" si="0"/>
        <v>1827</v>
      </c>
    </row>
    <row r="19" ht="19" customHeight="1" spans="1:8">
      <c r="A19" s="2">
        <v>17</v>
      </c>
      <c r="B19" s="4">
        <v>44882</v>
      </c>
      <c r="C19" s="2">
        <v>3</v>
      </c>
      <c r="D19" s="5">
        <v>7</v>
      </c>
      <c r="E19" s="5">
        <v>7</v>
      </c>
      <c r="F19" s="5">
        <v>599</v>
      </c>
      <c r="G19" s="5">
        <v>3</v>
      </c>
      <c r="H19" s="2">
        <f t="shared" si="0"/>
        <v>1818</v>
      </c>
    </row>
    <row r="20" ht="19" customHeight="1" spans="1:8">
      <c r="A20" s="2">
        <v>18</v>
      </c>
      <c r="B20" s="4">
        <v>44883</v>
      </c>
      <c r="C20" s="2">
        <v>91</v>
      </c>
      <c r="D20" s="5">
        <v>443</v>
      </c>
      <c r="E20" s="5">
        <v>443</v>
      </c>
      <c r="F20" s="5">
        <v>216</v>
      </c>
      <c r="G20" s="5">
        <v>3</v>
      </c>
      <c r="H20" s="2">
        <f t="shared" si="0"/>
        <v>1977</v>
      </c>
    </row>
    <row r="21" ht="19" customHeight="1" spans="1:8">
      <c r="A21" s="2">
        <v>19</v>
      </c>
      <c r="B21" s="4">
        <v>44884</v>
      </c>
      <c r="C21" s="2">
        <v>235</v>
      </c>
      <c r="D21" s="5">
        <v>255</v>
      </c>
      <c r="E21" s="5">
        <v>255</v>
      </c>
      <c r="F21" s="5">
        <v>144</v>
      </c>
      <c r="G21" s="5">
        <v>3</v>
      </c>
      <c r="H21" s="2">
        <f t="shared" si="0"/>
        <v>1197</v>
      </c>
    </row>
    <row r="22" ht="19" customHeight="1" spans="1:8">
      <c r="A22" s="2">
        <v>20</v>
      </c>
      <c r="B22" s="4">
        <v>44885</v>
      </c>
      <c r="C22" s="2">
        <v>259</v>
      </c>
      <c r="D22" s="5">
        <v>232</v>
      </c>
      <c r="E22" s="5">
        <v>232</v>
      </c>
      <c r="F22" s="5">
        <v>139</v>
      </c>
      <c r="G22" s="5">
        <v>3</v>
      </c>
      <c r="H22" s="2">
        <f t="shared" si="0"/>
        <v>1113</v>
      </c>
    </row>
    <row r="23" ht="19" customHeight="1" spans="1:8">
      <c r="A23" s="2">
        <v>21</v>
      </c>
      <c r="B23" s="4">
        <v>44886</v>
      </c>
      <c r="C23" s="2">
        <v>508</v>
      </c>
      <c r="D23" s="5">
        <v>512</v>
      </c>
      <c r="E23" s="5">
        <v>512</v>
      </c>
      <c r="F23" s="5">
        <v>163</v>
      </c>
      <c r="G23" s="5">
        <v>3</v>
      </c>
      <c r="H23" s="2">
        <f t="shared" si="0"/>
        <v>2025</v>
      </c>
    </row>
    <row r="24" ht="19" customHeight="1" spans="1:8">
      <c r="A24" s="2">
        <v>22</v>
      </c>
      <c r="B24" s="4">
        <v>44887</v>
      </c>
      <c r="C24" s="2">
        <v>523</v>
      </c>
      <c r="D24" s="5">
        <v>521</v>
      </c>
      <c r="E24" s="5">
        <v>521</v>
      </c>
      <c r="F24" s="5">
        <v>174</v>
      </c>
      <c r="G24" s="5">
        <v>3</v>
      </c>
      <c r="H24" s="2">
        <f t="shared" si="0"/>
        <v>2085</v>
      </c>
    </row>
    <row r="25" ht="19" customHeight="1" spans="1:8">
      <c r="A25" s="2">
        <v>23</v>
      </c>
      <c r="B25" s="4">
        <v>44888</v>
      </c>
      <c r="C25" s="2">
        <v>508</v>
      </c>
      <c r="D25" s="5">
        <v>513</v>
      </c>
      <c r="E25" s="5">
        <v>513</v>
      </c>
      <c r="F25" s="5">
        <v>166</v>
      </c>
      <c r="G25" s="5">
        <v>3</v>
      </c>
      <c r="H25" s="2">
        <f t="shared" si="0"/>
        <v>2037</v>
      </c>
    </row>
    <row r="26" ht="19" customHeight="1" spans="1:8">
      <c r="A26" s="2">
        <v>24</v>
      </c>
      <c r="B26" s="4">
        <v>44889</v>
      </c>
      <c r="C26" s="2">
        <v>480</v>
      </c>
      <c r="D26" s="5">
        <v>125</v>
      </c>
      <c r="E26" s="5">
        <v>125</v>
      </c>
      <c r="F26" s="5">
        <v>248</v>
      </c>
      <c r="G26" s="5">
        <v>3</v>
      </c>
      <c r="H26" s="2">
        <f t="shared" si="0"/>
        <v>1119</v>
      </c>
    </row>
    <row r="27" ht="19" customHeight="1" spans="1:8">
      <c r="A27" s="2">
        <v>25</v>
      </c>
      <c r="B27" s="4">
        <v>44890</v>
      </c>
      <c r="C27" s="2">
        <v>4</v>
      </c>
      <c r="D27" s="5">
        <v>2</v>
      </c>
      <c r="E27" s="5">
        <v>2</v>
      </c>
      <c r="F27" s="5">
        <v>633</v>
      </c>
      <c r="G27" s="5">
        <v>3</v>
      </c>
      <c r="H27" s="2">
        <f t="shared" si="0"/>
        <v>1905</v>
      </c>
    </row>
    <row r="28" ht="19" customHeight="1" spans="1:8">
      <c r="A28" s="2">
        <v>26</v>
      </c>
      <c r="B28" s="4">
        <v>44891</v>
      </c>
      <c r="C28" s="2">
        <v>1</v>
      </c>
      <c r="D28" s="5">
        <v>1</v>
      </c>
      <c r="E28" s="5">
        <v>1</v>
      </c>
      <c r="F28" s="5">
        <v>635</v>
      </c>
      <c r="G28" s="5">
        <v>3</v>
      </c>
      <c r="H28" s="2">
        <f t="shared" si="0"/>
        <v>1908</v>
      </c>
    </row>
    <row r="29" ht="19" customHeight="1" spans="1:8">
      <c r="A29" s="2">
        <v>27</v>
      </c>
      <c r="B29" s="4">
        <v>44892</v>
      </c>
      <c r="C29" s="2">
        <v>1</v>
      </c>
      <c r="D29" s="5">
        <v>1</v>
      </c>
      <c r="E29" s="5">
        <v>1</v>
      </c>
      <c r="F29" s="5">
        <v>635</v>
      </c>
      <c r="G29" s="5">
        <v>3</v>
      </c>
      <c r="H29" s="2">
        <f t="shared" si="0"/>
        <v>1908</v>
      </c>
    </row>
    <row r="30" ht="19" customHeight="1" spans="1:8">
      <c r="A30" s="2">
        <v>28</v>
      </c>
      <c r="B30" s="4">
        <v>44893</v>
      </c>
      <c r="C30" s="2">
        <v>1</v>
      </c>
      <c r="D30" s="5">
        <v>1</v>
      </c>
      <c r="E30" s="5">
        <v>1</v>
      </c>
      <c r="F30" s="5">
        <v>635</v>
      </c>
      <c r="G30" s="5">
        <v>3</v>
      </c>
      <c r="H30" s="2">
        <f t="shared" si="0"/>
        <v>1908</v>
      </c>
    </row>
    <row r="31" ht="19" customHeight="1" spans="1:8">
      <c r="A31" s="2">
        <v>29</v>
      </c>
      <c r="B31" s="4">
        <v>44894</v>
      </c>
      <c r="C31" s="2">
        <v>2</v>
      </c>
      <c r="D31" s="5">
        <v>2</v>
      </c>
      <c r="E31" s="5">
        <v>2</v>
      </c>
      <c r="F31" s="5">
        <v>635</v>
      </c>
      <c r="G31" s="5">
        <v>3</v>
      </c>
      <c r="H31" s="2">
        <f t="shared" si="0"/>
        <v>1911</v>
      </c>
    </row>
    <row r="32" ht="19" customHeight="1" spans="1:8">
      <c r="A32" s="2">
        <v>30</v>
      </c>
      <c r="B32" s="4">
        <v>44895</v>
      </c>
      <c r="C32" s="2">
        <v>208</v>
      </c>
      <c r="D32" s="5">
        <v>561</v>
      </c>
      <c r="E32" s="5">
        <v>561</v>
      </c>
      <c r="F32" s="5">
        <v>218</v>
      </c>
      <c r="G32" s="5">
        <v>3</v>
      </c>
      <c r="H32" s="2">
        <f t="shared" si="0"/>
        <v>2337</v>
      </c>
    </row>
    <row r="33" ht="19" customHeight="1" spans="1:8">
      <c r="A33" s="5" t="s">
        <v>22</v>
      </c>
      <c r="B33" s="7"/>
      <c r="C33" s="5">
        <f>SUM(C3:C32)</f>
        <v>5550</v>
      </c>
      <c r="D33" s="5">
        <f>SUM(D3:D32)</f>
        <v>6119</v>
      </c>
      <c r="E33" s="5">
        <f>SUM(E3:E32)</f>
        <v>6119</v>
      </c>
      <c r="F33" s="5">
        <f>SUM(F3:F32)</f>
        <v>12417</v>
      </c>
      <c r="G33" s="5">
        <v>3</v>
      </c>
      <c r="H33" s="2">
        <f t="shared" si="0"/>
        <v>55608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J16" sqref="J16"/>
    </sheetView>
  </sheetViews>
  <sheetFormatPr defaultColWidth="11.375" defaultRowHeight="22" customHeight="1" outlineLevelCol="7"/>
  <cols>
    <col min="1" max="1" width="7.125" customWidth="1"/>
    <col min="2" max="4" width="11.375" customWidth="1"/>
    <col min="5" max="5" width="9.875" customWidth="1"/>
    <col min="6" max="6" width="9.5" customWidth="1"/>
    <col min="7" max="7" width="15.5" customWidth="1"/>
    <col min="8" max="8" width="10.5" customWidth="1"/>
    <col min="9" max="16384" width="11.375" customWidth="1"/>
  </cols>
  <sheetData>
    <row r="1" ht="34" customHeight="1" spans="1:8">
      <c r="A1" s="1" t="s">
        <v>32</v>
      </c>
      <c r="B1" s="1"/>
      <c r="C1" s="1"/>
      <c r="D1" s="1"/>
      <c r="E1" s="1"/>
      <c r="F1" s="1"/>
      <c r="G1" s="1"/>
      <c r="H1" s="1"/>
    </row>
    <row r="2" ht="29" customHeight="1" spans="1:8">
      <c r="A2" s="2" t="s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</row>
    <row r="3" ht="19" customHeight="1" spans="1:8">
      <c r="A3" s="2">
        <v>1</v>
      </c>
      <c r="B3" s="4" t="s">
        <v>33</v>
      </c>
      <c r="C3" s="5">
        <v>500</v>
      </c>
      <c r="D3" s="2">
        <v>487</v>
      </c>
      <c r="E3" s="2">
        <v>487</v>
      </c>
      <c r="F3" s="5">
        <v>157</v>
      </c>
      <c r="G3" s="2">
        <v>3</v>
      </c>
      <c r="H3" s="2">
        <f>(E3+F3)*G3</f>
        <v>1932</v>
      </c>
    </row>
    <row r="4" ht="19" customHeight="1" spans="1:8">
      <c r="A4" s="2">
        <v>2</v>
      </c>
      <c r="B4" s="4" t="s">
        <v>34</v>
      </c>
      <c r="C4" s="5">
        <v>473</v>
      </c>
      <c r="D4" s="2">
        <v>486</v>
      </c>
      <c r="E4" s="2">
        <v>486</v>
      </c>
      <c r="F4" s="5">
        <v>161</v>
      </c>
      <c r="G4" s="5">
        <v>3</v>
      </c>
      <c r="H4" s="2">
        <f t="shared" ref="H4:H34" si="0">(E4+F4)*G4</f>
        <v>1941</v>
      </c>
    </row>
    <row r="5" ht="19" customHeight="1" spans="1:8">
      <c r="A5" s="2">
        <v>3</v>
      </c>
      <c r="B5" s="4" t="s">
        <v>35</v>
      </c>
      <c r="C5" s="5">
        <v>237</v>
      </c>
      <c r="D5" s="2">
        <v>273</v>
      </c>
      <c r="E5" s="2">
        <v>273</v>
      </c>
      <c r="F5" s="5">
        <v>152</v>
      </c>
      <c r="G5" s="5">
        <v>3</v>
      </c>
      <c r="H5" s="2">
        <f t="shared" si="0"/>
        <v>1275</v>
      </c>
    </row>
    <row r="6" ht="19" customHeight="1" spans="1:8">
      <c r="A6" s="2">
        <v>4</v>
      </c>
      <c r="B6" s="4" t="s">
        <v>36</v>
      </c>
      <c r="C6" s="5">
        <v>263</v>
      </c>
      <c r="D6" s="2">
        <v>246</v>
      </c>
      <c r="E6" s="2">
        <v>246</v>
      </c>
      <c r="F6" s="5">
        <v>138</v>
      </c>
      <c r="G6" s="5">
        <v>3</v>
      </c>
      <c r="H6" s="2">
        <f t="shared" si="0"/>
        <v>1152</v>
      </c>
    </row>
    <row r="7" ht="19" customHeight="1" spans="1:8">
      <c r="A7" s="2">
        <v>5</v>
      </c>
      <c r="B7" s="4" t="s">
        <v>37</v>
      </c>
      <c r="C7" s="5">
        <v>484</v>
      </c>
      <c r="D7" s="2">
        <v>481</v>
      </c>
      <c r="E7" s="2">
        <v>481</v>
      </c>
      <c r="F7" s="5">
        <v>151</v>
      </c>
      <c r="G7" s="5">
        <v>3</v>
      </c>
      <c r="H7" s="2">
        <f t="shared" si="0"/>
        <v>1896</v>
      </c>
    </row>
    <row r="8" ht="19" customHeight="1" spans="1:8">
      <c r="A8" s="2">
        <v>6</v>
      </c>
      <c r="B8" s="4" t="s">
        <v>38</v>
      </c>
      <c r="C8" s="5">
        <v>506</v>
      </c>
      <c r="D8" s="2">
        <v>516</v>
      </c>
      <c r="E8" s="2">
        <v>516</v>
      </c>
      <c r="F8" s="5">
        <v>152</v>
      </c>
      <c r="G8" s="5">
        <v>3</v>
      </c>
      <c r="H8" s="2">
        <f t="shared" si="0"/>
        <v>2004</v>
      </c>
    </row>
    <row r="9" ht="19" customHeight="1" spans="1:8">
      <c r="A9" s="2">
        <v>7</v>
      </c>
      <c r="B9" s="4" t="s">
        <v>39</v>
      </c>
      <c r="C9" s="5">
        <v>501</v>
      </c>
      <c r="D9" s="2">
        <v>518</v>
      </c>
      <c r="E9" s="2">
        <v>518</v>
      </c>
      <c r="F9" s="5">
        <v>145</v>
      </c>
      <c r="G9" s="5">
        <v>3</v>
      </c>
      <c r="H9" s="2">
        <f t="shared" si="0"/>
        <v>1989</v>
      </c>
    </row>
    <row r="10" ht="19" customHeight="1" spans="1:8">
      <c r="A10" s="2">
        <v>8</v>
      </c>
      <c r="B10" s="4" t="s">
        <v>40</v>
      </c>
      <c r="C10" s="5">
        <v>496</v>
      </c>
      <c r="D10" s="2">
        <v>483</v>
      </c>
      <c r="E10" s="2">
        <v>483</v>
      </c>
      <c r="F10" s="5">
        <v>158</v>
      </c>
      <c r="G10" s="5">
        <v>3</v>
      </c>
      <c r="H10" s="2">
        <f t="shared" si="0"/>
        <v>1923</v>
      </c>
    </row>
    <row r="11" ht="19" customHeight="1" spans="1:8">
      <c r="A11" s="2">
        <v>9</v>
      </c>
      <c r="B11" s="4" t="s">
        <v>41</v>
      </c>
      <c r="C11" s="5">
        <v>494</v>
      </c>
      <c r="D11" s="2">
        <v>534</v>
      </c>
      <c r="E11" s="2">
        <v>534</v>
      </c>
      <c r="F11" s="5">
        <v>127</v>
      </c>
      <c r="G11" s="5">
        <v>3</v>
      </c>
      <c r="H11" s="2">
        <f t="shared" si="0"/>
        <v>1983</v>
      </c>
    </row>
    <row r="12" ht="19" customHeight="1" spans="1:8">
      <c r="A12" s="2">
        <v>10</v>
      </c>
      <c r="B12" s="4" t="s">
        <v>42</v>
      </c>
      <c r="C12" s="5">
        <v>264</v>
      </c>
      <c r="D12" s="2">
        <v>286</v>
      </c>
      <c r="E12" s="2">
        <v>286</v>
      </c>
      <c r="F12" s="5">
        <v>127</v>
      </c>
      <c r="G12" s="5">
        <v>3</v>
      </c>
      <c r="H12" s="2">
        <f t="shared" si="0"/>
        <v>1239</v>
      </c>
    </row>
    <row r="13" ht="19" customHeight="1" spans="1:8">
      <c r="A13" s="2">
        <v>11</v>
      </c>
      <c r="B13" s="4" t="s">
        <v>43</v>
      </c>
      <c r="C13" s="5">
        <v>301</v>
      </c>
      <c r="D13" s="2">
        <v>284</v>
      </c>
      <c r="E13" s="2">
        <v>284</v>
      </c>
      <c r="F13" s="5">
        <v>118</v>
      </c>
      <c r="G13" s="5">
        <v>3</v>
      </c>
      <c r="H13" s="2">
        <f t="shared" si="0"/>
        <v>1206</v>
      </c>
    </row>
    <row r="14" ht="19" customHeight="1" spans="1:8">
      <c r="A14" s="2">
        <v>12</v>
      </c>
      <c r="B14" s="4" t="s">
        <v>44</v>
      </c>
      <c r="C14" s="5">
        <v>516</v>
      </c>
      <c r="D14" s="2">
        <v>508</v>
      </c>
      <c r="E14" s="2">
        <v>508</v>
      </c>
      <c r="F14" s="5">
        <v>139</v>
      </c>
      <c r="G14" s="5">
        <v>3</v>
      </c>
      <c r="H14" s="2">
        <f t="shared" si="0"/>
        <v>1941</v>
      </c>
    </row>
    <row r="15" ht="19" customHeight="1" spans="1:8">
      <c r="A15" s="2">
        <v>13</v>
      </c>
      <c r="B15" s="4" t="s">
        <v>45</v>
      </c>
      <c r="C15" s="5">
        <v>493</v>
      </c>
      <c r="D15" s="2">
        <v>488</v>
      </c>
      <c r="E15" s="2">
        <v>488</v>
      </c>
      <c r="F15" s="5">
        <v>159</v>
      </c>
      <c r="G15" s="5">
        <v>3</v>
      </c>
      <c r="H15" s="2">
        <f t="shared" si="0"/>
        <v>1941</v>
      </c>
    </row>
    <row r="16" ht="19" customHeight="1" spans="1:8">
      <c r="A16" s="2">
        <v>14</v>
      </c>
      <c r="B16" s="4" t="s">
        <v>46</v>
      </c>
      <c r="C16" s="5">
        <v>459</v>
      </c>
      <c r="D16" s="2">
        <v>472</v>
      </c>
      <c r="E16" s="2">
        <v>472</v>
      </c>
      <c r="F16" s="5">
        <v>163</v>
      </c>
      <c r="G16" s="5">
        <v>3</v>
      </c>
      <c r="H16" s="2">
        <f t="shared" si="0"/>
        <v>1905</v>
      </c>
    </row>
    <row r="17" ht="19" customHeight="1" spans="1:8">
      <c r="A17" s="2">
        <v>15</v>
      </c>
      <c r="B17" s="4" t="s">
        <v>47</v>
      </c>
      <c r="C17" s="5">
        <v>441</v>
      </c>
      <c r="D17" s="2">
        <v>454</v>
      </c>
      <c r="E17" s="2">
        <v>454</v>
      </c>
      <c r="F17" s="5">
        <v>172</v>
      </c>
      <c r="G17" s="5">
        <v>3</v>
      </c>
      <c r="H17" s="2">
        <f t="shared" si="0"/>
        <v>1878</v>
      </c>
    </row>
    <row r="18" ht="19" customHeight="1" spans="1:8">
      <c r="A18" s="2">
        <v>16</v>
      </c>
      <c r="B18" s="4" t="s">
        <v>48</v>
      </c>
      <c r="C18" s="5">
        <v>422</v>
      </c>
      <c r="D18" s="2">
        <v>420</v>
      </c>
      <c r="E18" s="2">
        <v>420</v>
      </c>
      <c r="F18" s="5">
        <v>171</v>
      </c>
      <c r="G18" s="5">
        <v>3</v>
      </c>
      <c r="H18" s="2">
        <f t="shared" si="0"/>
        <v>1773</v>
      </c>
    </row>
    <row r="19" ht="19" customHeight="1" spans="1:8">
      <c r="A19" s="2">
        <v>17</v>
      </c>
      <c r="B19" s="4" t="s">
        <v>49</v>
      </c>
      <c r="C19" s="5">
        <v>222</v>
      </c>
      <c r="D19" s="2">
        <v>262</v>
      </c>
      <c r="E19" s="2">
        <v>262</v>
      </c>
      <c r="F19" s="5">
        <v>164</v>
      </c>
      <c r="G19" s="5">
        <v>3</v>
      </c>
      <c r="H19" s="2">
        <f t="shared" si="0"/>
        <v>1278</v>
      </c>
    </row>
    <row r="20" ht="19" customHeight="1" spans="1:8">
      <c r="A20" s="2">
        <v>18</v>
      </c>
      <c r="B20" s="4" t="s">
        <v>50</v>
      </c>
      <c r="C20" s="5">
        <v>208</v>
      </c>
      <c r="D20" s="2">
        <v>222</v>
      </c>
      <c r="E20" s="2">
        <v>222</v>
      </c>
      <c r="F20" s="5">
        <v>154</v>
      </c>
      <c r="G20" s="5">
        <v>3</v>
      </c>
      <c r="H20" s="2">
        <f t="shared" si="0"/>
        <v>1128</v>
      </c>
    </row>
    <row r="21" ht="19" customHeight="1" spans="1:8">
      <c r="A21" s="2">
        <v>19</v>
      </c>
      <c r="B21" s="4" t="s">
        <v>51</v>
      </c>
      <c r="C21" s="5">
        <v>357</v>
      </c>
      <c r="D21" s="2">
        <v>372</v>
      </c>
      <c r="E21" s="2">
        <v>372</v>
      </c>
      <c r="F21" s="5">
        <v>147</v>
      </c>
      <c r="G21" s="5">
        <v>3</v>
      </c>
      <c r="H21" s="2">
        <f t="shared" si="0"/>
        <v>1557</v>
      </c>
    </row>
    <row r="22" ht="19" customHeight="1" spans="1:8">
      <c r="A22" s="2">
        <v>20</v>
      </c>
      <c r="B22" s="4" t="s">
        <v>52</v>
      </c>
      <c r="C22" s="5">
        <v>352</v>
      </c>
      <c r="D22" s="2">
        <v>347</v>
      </c>
      <c r="E22" s="2">
        <v>347</v>
      </c>
      <c r="F22" s="5">
        <v>153</v>
      </c>
      <c r="G22" s="5">
        <v>3</v>
      </c>
      <c r="H22" s="2">
        <f t="shared" si="0"/>
        <v>1500</v>
      </c>
    </row>
    <row r="23" ht="19" customHeight="1" spans="1:8">
      <c r="A23" s="2">
        <v>21</v>
      </c>
      <c r="B23" s="4" t="s">
        <v>53</v>
      </c>
      <c r="C23" s="5">
        <v>370</v>
      </c>
      <c r="D23" s="2">
        <v>380</v>
      </c>
      <c r="E23" s="2">
        <v>380</v>
      </c>
      <c r="F23" s="5">
        <v>149</v>
      </c>
      <c r="G23" s="5">
        <v>3</v>
      </c>
      <c r="H23" s="2">
        <f t="shared" si="0"/>
        <v>1587</v>
      </c>
    </row>
    <row r="24" ht="19" customHeight="1" spans="1:8">
      <c r="A24" s="2">
        <v>22</v>
      </c>
      <c r="B24" s="4" t="s">
        <v>54</v>
      </c>
      <c r="C24" s="5">
        <v>403</v>
      </c>
      <c r="D24" s="2">
        <v>413</v>
      </c>
      <c r="E24" s="2">
        <v>413</v>
      </c>
      <c r="F24" s="5">
        <v>141</v>
      </c>
      <c r="G24" s="5">
        <v>3</v>
      </c>
      <c r="H24" s="2">
        <f t="shared" si="0"/>
        <v>1662</v>
      </c>
    </row>
    <row r="25" ht="19" customHeight="1" spans="1:8">
      <c r="A25" s="2">
        <v>23</v>
      </c>
      <c r="B25" s="4" t="s">
        <v>55</v>
      </c>
      <c r="C25" s="5">
        <v>403</v>
      </c>
      <c r="D25" s="2">
        <v>445</v>
      </c>
      <c r="E25" s="2">
        <v>445</v>
      </c>
      <c r="F25" s="5">
        <v>100</v>
      </c>
      <c r="G25" s="5">
        <v>3</v>
      </c>
      <c r="H25" s="2">
        <f t="shared" si="0"/>
        <v>1635</v>
      </c>
    </row>
    <row r="26" ht="19" customHeight="1" spans="1:8">
      <c r="A26" s="2">
        <v>24</v>
      </c>
      <c r="B26" s="4" t="s">
        <v>56</v>
      </c>
      <c r="C26" s="5">
        <v>246</v>
      </c>
      <c r="D26" s="2">
        <v>235</v>
      </c>
      <c r="E26" s="2">
        <v>235</v>
      </c>
      <c r="F26" s="5">
        <v>106</v>
      </c>
      <c r="G26" s="5">
        <v>3</v>
      </c>
      <c r="H26" s="2">
        <f t="shared" si="0"/>
        <v>1023</v>
      </c>
    </row>
    <row r="27" ht="19" customHeight="1" spans="1:8">
      <c r="A27" s="2">
        <v>25</v>
      </c>
      <c r="B27" s="4" t="s">
        <v>57</v>
      </c>
      <c r="C27" s="5">
        <v>254</v>
      </c>
      <c r="D27" s="2">
        <v>250</v>
      </c>
      <c r="E27" s="2">
        <v>250</v>
      </c>
      <c r="F27" s="5">
        <v>107</v>
      </c>
      <c r="G27" s="5">
        <v>3</v>
      </c>
      <c r="H27" s="2">
        <f t="shared" si="0"/>
        <v>1071</v>
      </c>
    </row>
    <row r="28" ht="19" customHeight="1" spans="1:8">
      <c r="A28" s="2">
        <v>26</v>
      </c>
      <c r="B28" s="4" t="s">
        <v>58</v>
      </c>
      <c r="C28" s="5">
        <v>557</v>
      </c>
      <c r="D28" s="2">
        <v>538</v>
      </c>
      <c r="E28" s="2">
        <v>538</v>
      </c>
      <c r="F28" s="5">
        <v>113</v>
      </c>
      <c r="G28" s="5">
        <v>3</v>
      </c>
      <c r="H28" s="2">
        <f t="shared" si="0"/>
        <v>1953</v>
      </c>
    </row>
    <row r="29" ht="19" customHeight="1" spans="1:8">
      <c r="A29" s="2">
        <v>27</v>
      </c>
      <c r="B29" s="4" t="s">
        <v>59</v>
      </c>
      <c r="C29" s="5">
        <v>553</v>
      </c>
      <c r="D29" s="2">
        <v>557</v>
      </c>
      <c r="E29" s="2">
        <v>557</v>
      </c>
      <c r="F29" s="5">
        <v>131</v>
      </c>
      <c r="G29" s="5">
        <v>3</v>
      </c>
      <c r="H29" s="2">
        <f t="shared" si="0"/>
        <v>2064</v>
      </c>
    </row>
    <row r="30" ht="19" customHeight="1" spans="1:8">
      <c r="A30" s="2">
        <v>28</v>
      </c>
      <c r="B30" s="4" t="s">
        <v>60</v>
      </c>
      <c r="C30" s="5">
        <v>569</v>
      </c>
      <c r="D30" s="2">
        <v>569</v>
      </c>
      <c r="E30" s="2">
        <v>569</v>
      </c>
      <c r="F30" s="5">
        <v>124</v>
      </c>
      <c r="G30" s="5">
        <v>3</v>
      </c>
      <c r="H30" s="2">
        <f t="shared" si="0"/>
        <v>2079</v>
      </c>
    </row>
    <row r="31" ht="19" customHeight="1" spans="1:8">
      <c r="A31" s="2">
        <v>29</v>
      </c>
      <c r="B31" s="4" t="s">
        <v>61</v>
      </c>
      <c r="C31" s="5">
        <v>587</v>
      </c>
      <c r="D31" s="2">
        <v>594</v>
      </c>
      <c r="E31" s="2">
        <v>594</v>
      </c>
      <c r="F31" s="5">
        <v>122</v>
      </c>
      <c r="G31" s="5">
        <v>3</v>
      </c>
      <c r="H31" s="2">
        <f t="shared" si="0"/>
        <v>2148</v>
      </c>
    </row>
    <row r="32" ht="19" customHeight="1" spans="1:8">
      <c r="A32" s="2">
        <v>30</v>
      </c>
      <c r="B32" s="4" t="s">
        <v>62</v>
      </c>
      <c r="C32" s="5">
        <v>581</v>
      </c>
      <c r="D32" s="2">
        <v>600</v>
      </c>
      <c r="E32" s="2">
        <v>600</v>
      </c>
      <c r="F32" s="5">
        <v>106</v>
      </c>
      <c r="G32" s="5">
        <v>3</v>
      </c>
      <c r="H32" s="2">
        <f t="shared" si="0"/>
        <v>2118</v>
      </c>
    </row>
    <row r="33" ht="19" customHeight="1" spans="1:8">
      <c r="A33" s="2">
        <v>31</v>
      </c>
      <c r="B33" s="4" t="s">
        <v>63</v>
      </c>
      <c r="C33" s="5">
        <v>313</v>
      </c>
      <c r="D33" s="2">
        <v>332</v>
      </c>
      <c r="E33" s="2">
        <v>332</v>
      </c>
      <c r="F33" s="5">
        <v>92</v>
      </c>
      <c r="G33" s="6">
        <v>3</v>
      </c>
      <c r="H33" s="2">
        <f t="shared" si="0"/>
        <v>1272</v>
      </c>
    </row>
    <row r="34" ht="19" customHeight="1" spans="1:8">
      <c r="A34" s="5" t="s">
        <v>22</v>
      </c>
      <c r="B34" s="7"/>
      <c r="C34" s="5">
        <f t="shared" ref="C34:F34" si="1">SUM(C3:C33)</f>
        <v>12825</v>
      </c>
      <c r="D34" s="5">
        <f t="shared" si="1"/>
        <v>13052</v>
      </c>
      <c r="E34" s="5">
        <f t="shared" si="1"/>
        <v>13052</v>
      </c>
      <c r="F34" s="5">
        <f t="shared" si="1"/>
        <v>4299</v>
      </c>
      <c r="G34" s="5">
        <v>3</v>
      </c>
      <c r="H34" s="2">
        <f t="shared" si="0"/>
        <v>52053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汇总</vt:lpstr>
      <vt:lpstr>2022年2月份</vt:lpstr>
      <vt:lpstr>2022年3月份</vt:lpstr>
      <vt:lpstr>2022年4月份</vt:lpstr>
      <vt:lpstr>2022年5月份</vt:lpstr>
      <vt:lpstr>2022年6月份</vt:lpstr>
      <vt:lpstr>2022年7月份</vt:lpstr>
      <vt:lpstr>2022年8月份</vt:lpstr>
      <vt:lpstr>2022年9月份</vt:lpstr>
      <vt:lpstr>2022年10月份</vt:lpstr>
      <vt:lpstr>2022年11月份</vt:lpstr>
      <vt:lpstr>2022年12月份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WPS_1759144756</cp:lastModifiedBy>
  <dcterms:created xsi:type="dcterms:W3CDTF">2023-05-12T11:15:00Z</dcterms:created>
  <dcterms:modified xsi:type="dcterms:W3CDTF">2026-08-04T09:33:11Z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