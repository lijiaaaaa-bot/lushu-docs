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380" windowHeight="12300" firstSheet="4" activeTab="12"/>
  </bookViews>
  <sheets>
    <sheet name="汇总" sheetId="1" r:id="rId1"/>
    <sheet name="2025年1月份" sheetId="2" r:id="rId2"/>
    <sheet name="2025年2月份" sheetId="3" r:id="rId3"/>
    <sheet name="2025年3月份" sheetId="4" r:id="rId4"/>
    <sheet name="2025年4月份" sheetId="5" r:id="rId5"/>
    <sheet name="2025年5月份" sheetId="6" r:id="rId6"/>
    <sheet name="2025年6月份" sheetId="7" r:id="rId7"/>
    <sheet name="2025年7月份" sheetId="8" r:id="rId8"/>
    <sheet name="2025年8月份" sheetId="9" r:id="rId9"/>
    <sheet name="2025年9月份" sheetId="10" r:id="rId10"/>
    <sheet name="2025年10月份" sheetId="11" r:id="rId11"/>
    <sheet name="2025年11月份" sheetId="12" r:id="rId12"/>
    <sheet name="2025年12月份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<sst xmlns="http://schemas.openxmlformats.org/spreadsheetml/2006/main" count="889" uniqueCount="433">
  <si>
    <t>阜外华中心血管病医院职工</t>
  </si>
  <si>
    <t>2025年汇总</t>
  </si>
  <si>
    <t>2025年度地下停车场停车收费明细</t>
  </si>
  <si>
    <t>序号</t>
  </si>
  <si>
    <t>月份</t>
  </si>
  <si>
    <t>金额</t>
  </si>
  <si>
    <t>进场车次</t>
  </si>
  <si>
    <t>电费金额</t>
  </si>
  <si>
    <t>管理费金额（年）</t>
  </si>
  <si>
    <t>汇总</t>
  </si>
  <si>
    <t>2025年第一季度小计</t>
  </si>
  <si>
    <t>2025年第二季度小计</t>
  </si>
  <si>
    <t>2025年第三季度小计</t>
  </si>
  <si>
    <t>2025年第四季度小计</t>
  </si>
  <si>
    <t>2025年度合计</t>
  </si>
  <si>
    <t>2025年阜外华中心血管病医院职工1月份地下停车场停车记录</t>
  </si>
  <si>
    <t>日期</t>
  </si>
  <si>
    <t>进场车单次</t>
  </si>
  <si>
    <t>出场车单次</t>
  </si>
  <si>
    <t>计费车次</t>
  </si>
  <si>
    <t>费用（3元/天）</t>
  </si>
  <si>
    <t>车次总计（元）</t>
  </si>
  <si>
    <t>时间/停留车辆/费用</t>
  </si>
  <si>
    <t>停留车辆总计（元）</t>
  </si>
  <si>
    <t>总计（元）</t>
  </si>
  <si>
    <t>2025.1.1</t>
  </si>
  <si>
    <t>1天</t>
  </si>
  <si>
    <t>2025.1.2</t>
  </si>
  <si>
    <t>2天</t>
  </si>
  <si>
    <t>2025.1.3</t>
  </si>
  <si>
    <t>3天</t>
  </si>
  <si>
    <t>2025.1.4</t>
  </si>
  <si>
    <t>4天</t>
  </si>
  <si>
    <t>2025.1.5</t>
  </si>
  <si>
    <t>5天</t>
  </si>
  <si>
    <t>2025.1.6</t>
  </si>
  <si>
    <t>6天</t>
  </si>
  <si>
    <t>2025.1.7</t>
  </si>
  <si>
    <t>7天</t>
  </si>
  <si>
    <t>2025.1.8</t>
  </si>
  <si>
    <t>8天</t>
  </si>
  <si>
    <t>2025.1.9</t>
  </si>
  <si>
    <t>9天</t>
  </si>
  <si>
    <t>2025.1.10</t>
  </si>
  <si>
    <t>10天</t>
  </si>
  <si>
    <t>2025.1.11</t>
  </si>
  <si>
    <t>11天</t>
  </si>
  <si>
    <t>2025.1.12</t>
  </si>
  <si>
    <t>12天</t>
  </si>
  <si>
    <t>2025.1.13</t>
  </si>
  <si>
    <t>13天</t>
  </si>
  <si>
    <t>2025.1.14</t>
  </si>
  <si>
    <t>14天</t>
  </si>
  <si>
    <t>2025.1.15</t>
  </si>
  <si>
    <t>15天</t>
  </si>
  <si>
    <t>2025.1.16</t>
  </si>
  <si>
    <t>16天</t>
  </si>
  <si>
    <t>2025.1.17</t>
  </si>
  <si>
    <t>17天</t>
  </si>
  <si>
    <t>2025.1.18</t>
  </si>
  <si>
    <t>18天</t>
  </si>
  <si>
    <t>2025.1.19</t>
  </si>
  <si>
    <t>19天</t>
  </si>
  <si>
    <t>2025.1.20</t>
  </si>
  <si>
    <t>20天</t>
  </si>
  <si>
    <t>2025.1.21</t>
  </si>
  <si>
    <t>21天</t>
  </si>
  <si>
    <t>2025.1.22</t>
  </si>
  <si>
    <t>22天</t>
  </si>
  <si>
    <t>2025.1.23</t>
  </si>
  <si>
    <t>23天</t>
  </si>
  <si>
    <t>2025.1.24</t>
  </si>
  <si>
    <t>24天</t>
  </si>
  <si>
    <t>2025.1.25</t>
  </si>
  <si>
    <t>25天</t>
  </si>
  <si>
    <t>2025.1.26</t>
  </si>
  <si>
    <t>26天</t>
  </si>
  <si>
    <t>2025.1.27</t>
  </si>
  <si>
    <t>27天</t>
  </si>
  <si>
    <t>2025.1.28</t>
  </si>
  <si>
    <t>28天</t>
  </si>
  <si>
    <t>2025.1.29</t>
  </si>
  <si>
    <t>29天</t>
  </si>
  <si>
    <t>2025.1.30</t>
  </si>
  <si>
    <t>30天</t>
  </si>
  <si>
    <t>2025.1.31</t>
  </si>
  <si>
    <t>31天</t>
  </si>
  <si>
    <t>共计</t>
  </si>
  <si>
    <t>2025年阜外华中心血管病医院职工2月份地下停车场停车记录</t>
  </si>
  <si>
    <t>2025.2.1</t>
  </si>
  <si>
    <t>2025.2.2</t>
  </si>
  <si>
    <t>2025.2.3</t>
  </si>
  <si>
    <t>2025.2.4</t>
  </si>
  <si>
    <t>2025.2.5</t>
  </si>
  <si>
    <t>2025.2.6</t>
  </si>
  <si>
    <t>2025.2.7</t>
  </si>
  <si>
    <t>2025.2.8</t>
  </si>
  <si>
    <t>2025.2.9</t>
  </si>
  <si>
    <t>2025.2.10</t>
  </si>
  <si>
    <t>2025.2.11</t>
  </si>
  <si>
    <t>2025.2.12</t>
  </si>
  <si>
    <t>2025.2.13</t>
  </si>
  <si>
    <t>2025.2.14</t>
  </si>
  <si>
    <t>2025.2.15</t>
  </si>
  <si>
    <t>2025.2.16</t>
  </si>
  <si>
    <t>2025.2.17</t>
  </si>
  <si>
    <t>2025.2.18</t>
  </si>
  <si>
    <t>2025.2.19</t>
  </si>
  <si>
    <t>2025.2.20</t>
  </si>
  <si>
    <t>2025.2.21</t>
  </si>
  <si>
    <t>2025.2.22</t>
  </si>
  <si>
    <t>2025.2.23</t>
  </si>
  <si>
    <t>2025.2.24</t>
  </si>
  <si>
    <t>2025.2.25</t>
  </si>
  <si>
    <t>2025.2.26</t>
  </si>
  <si>
    <t>2025.2.27</t>
  </si>
  <si>
    <t>2025.2.28</t>
  </si>
  <si>
    <t>2025年阜外华中心血管病医院职工3月份地下停车场停车记录</t>
  </si>
  <si>
    <t>2025.3.1</t>
  </si>
  <si>
    <t>2025.3.2</t>
  </si>
  <si>
    <t>2025.3.3</t>
  </si>
  <si>
    <t>2025.3.4</t>
  </si>
  <si>
    <t>2025.3.5</t>
  </si>
  <si>
    <t>2025.3.6</t>
  </si>
  <si>
    <t>2025.3.7</t>
  </si>
  <si>
    <t>2025.3.8</t>
  </si>
  <si>
    <t>2025.3.9</t>
  </si>
  <si>
    <t>2025.3.10</t>
  </si>
  <si>
    <t>2025.3.11</t>
  </si>
  <si>
    <t>2025.3.12</t>
  </si>
  <si>
    <t>2025.3.13</t>
  </si>
  <si>
    <t>2025.3.14</t>
  </si>
  <si>
    <t>2025.3.15</t>
  </si>
  <si>
    <t>2025.3.16</t>
  </si>
  <si>
    <t>2025.3.17</t>
  </si>
  <si>
    <t>2025.3.18</t>
  </si>
  <si>
    <t>2025.3.19</t>
  </si>
  <si>
    <t>2025.3.20</t>
  </si>
  <si>
    <t>2025.3.21</t>
  </si>
  <si>
    <t>2025.3.22</t>
  </si>
  <si>
    <t>2025.3.23</t>
  </si>
  <si>
    <t>2025.3.24</t>
  </si>
  <si>
    <t>2025.3.25</t>
  </si>
  <si>
    <t>2025.3.26</t>
  </si>
  <si>
    <t>2025.3.27</t>
  </si>
  <si>
    <t>2025.3.28</t>
  </si>
  <si>
    <t>2025.3.29</t>
  </si>
  <si>
    <t>2025.3.30</t>
  </si>
  <si>
    <t>2025.3.31</t>
  </si>
  <si>
    <t>2025年阜外华中心血管病医院职工4月份地下停车场停车记录</t>
  </si>
  <si>
    <t>2025.4.1</t>
  </si>
  <si>
    <t>2025.4.2</t>
  </si>
  <si>
    <t>2025.4.3</t>
  </si>
  <si>
    <t>2025.4.4</t>
  </si>
  <si>
    <t>2025.4.5</t>
  </si>
  <si>
    <t>2025.4.6</t>
  </si>
  <si>
    <t>2025.4.7</t>
  </si>
  <si>
    <t>2025.4.8</t>
  </si>
  <si>
    <t>2025.4.9</t>
  </si>
  <si>
    <t>2025.4.10</t>
  </si>
  <si>
    <t>2025.4.11</t>
  </si>
  <si>
    <t>2025.4.12</t>
  </si>
  <si>
    <t>2025.4.13</t>
  </si>
  <si>
    <t>2025.4.14</t>
  </si>
  <si>
    <t>2025.4.15</t>
  </si>
  <si>
    <t>2025.4.16</t>
  </si>
  <si>
    <t>2025.4.17</t>
  </si>
  <si>
    <t>2025.4.18</t>
  </si>
  <si>
    <t>2025.4.19</t>
  </si>
  <si>
    <t>2025.4.20</t>
  </si>
  <si>
    <t>2025.4.21</t>
  </si>
  <si>
    <t>2025.4.22</t>
  </si>
  <si>
    <t>2025.4.23</t>
  </si>
  <si>
    <t>2025.4.24</t>
  </si>
  <si>
    <t>2025.4.25</t>
  </si>
  <si>
    <t>2025.4.26</t>
  </si>
  <si>
    <t>2025.4.27</t>
  </si>
  <si>
    <t>2025.4.28</t>
  </si>
  <si>
    <t>2025.4.29</t>
  </si>
  <si>
    <t>2025.4.30</t>
  </si>
  <si>
    <t>2025年阜外华中心血管病医院职工5月份地下停车场停车记录</t>
  </si>
  <si>
    <t>2025.5.1</t>
  </si>
  <si>
    <t>2025.5.2</t>
  </si>
  <si>
    <t>2025.5.3</t>
  </si>
  <si>
    <t>2025.5.4</t>
  </si>
  <si>
    <t>2025.5.5</t>
  </si>
  <si>
    <t>2025.5.6</t>
  </si>
  <si>
    <t>2025.5.7</t>
  </si>
  <si>
    <t>2025.5.8</t>
  </si>
  <si>
    <t>2025.5.9</t>
  </si>
  <si>
    <t>2025.5.10</t>
  </si>
  <si>
    <t>2025.5.11</t>
  </si>
  <si>
    <t>2025.5.12</t>
  </si>
  <si>
    <t>2025.5.13</t>
  </si>
  <si>
    <t>2025.5.14</t>
  </si>
  <si>
    <t>2025.5.15</t>
  </si>
  <si>
    <t>2025.5.16</t>
  </si>
  <si>
    <t>2025.5.17</t>
  </si>
  <si>
    <t>2025.5.18</t>
  </si>
  <si>
    <t>2025.5.19</t>
  </si>
  <si>
    <t>2025.5.20</t>
  </si>
  <si>
    <t>2025.5.21</t>
  </si>
  <si>
    <t>2025.5.22</t>
  </si>
  <si>
    <t>2025.5.23</t>
  </si>
  <si>
    <t>2025.5.24</t>
  </si>
  <si>
    <t>2025.5.25</t>
  </si>
  <si>
    <t>2025.5.26</t>
  </si>
  <si>
    <t>2025.5.27</t>
  </si>
  <si>
    <t>2025.5.28</t>
  </si>
  <si>
    <t>2025.5.29</t>
  </si>
  <si>
    <t>2025.5.30</t>
  </si>
  <si>
    <t>2025.5.31</t>
  </si>
  <si>
    <t>2025年阜外华中心血管病医院职工6月份地下停车场停车记录</t>
  </si>
  <si>
    <t>2025.6.1</t>
  </si>
  <si>
    <t>2025.6.2</t>
  </si>
  <si>
    <t>2025.6.3</t>
  </si>
  <si>
    <t>2025.6.4</t>
  </si>
  <si>
    <t>2025.6.5</t>
  </si>
  <si>
    <t>2025.6.6</t>
  </si>
  <si>
    <t>2025.6.7</t>
  </si>
  <si>
    <t>2025.6.8</t>
  </si>
  <si>
    <t>2025.6.9</t>
  </si>
  <si>
    <t>2025.6.10</t>
  </si>
  <si>
    <t>2025.6.11</t>
  </si>
  <si>
    <t>2025.6.12</t>
  </si>
  <si>
    <t>2025.6.13</t>
  </si>
  <si>
    <t>2025.6.14</t>
  </si>
  <si>
    <t>2025.6.15</t>
  </si>
  <si>
    <t>2025.6.16</t>
  </si>
  <si>
    <t>2025.6.17</t>
  </si>
  <si>
    <t>2025.6.18</t>
  </si>
  <si>
    <t>2025.6.19</t>
  </si>
  <si>
    <t>2025.6.20</t>
  </si>
  <si>
    <t>2025.6.21</t>
  </si>
  <si>
    <t>2025.6.22</t>
  </si>
  <si>
    <t>2025.6.23</t>
  </si>
  <si>
    <t>2025.6.24</t>
  </si>
  <si>
    <t>2025.6.25</t>
  </si>
  <si>
    <t>2025.6.26</t>
  </si>
  <si>
    <t>2025.6.27</t>
  </si>
  <si>
    <t>2025.6.28</t>
  </si>
  <si>
    <t>2025.6.29</t>
  </si>
  <si>
    <t>2025.6.30</t>
  </si>
  <si>
    <t>2025年阜外华中心血管病医院职工7月份地下停车场停车记录</t>
  </si>
  <si>
    <t>2025.7.1</t>
  </si>
  <si>
    <t>2025.7.2</t>
  </si>
  <si>
    <t>2025.7.3</t>
  </si>
  <si>
    <t>2025.7.4</t>
  </si>
  <si>
    <t>2025.7.5</t>
  </si>
  <si>
    <t>2025.7.6</t>
  </si>
  <si>
    <t>2025.7.7</t>
  </si>
  <si>
    <t>2025.7.8</t>
  </si>
  <si>
    <t>2025.7.9</t>
  </si>
  <si>
    <t>2025.7.10</t>
  </si>
  <si>
    <t>2025.7.11</t>
  </si>
  <si>
    <t>2025.7.12</t>
  </si>
  <si>
    <t>2025.7.13</t>
  </si>
  <si>
    <t>2025.7.14</t>
  </si>
  <si>
    <t>2025.7.15</t>
  </si>
  <si>
    <t>2025.7.16</t>
  </si>
  <si>
    <t>2025.7.17</t>
  </si>
  <si>
    <t>2025.7.18</t>
  </si>
  <si>
    <t>2025.7.19</t>
  </si>
  <si>
    <t>2025.7.20</t>
  </si>
  <si>
    <t>2025.7.21</t>
  </si>
  <si>
    <t>2025.7.22</t>
  </si>
  <si>
    <t>2025.7.23</t>
  </si>
  <si>
    <t>2025.7.24</t>
  </si>
  <si>
    <t>2025.7.25</t>
  </si>
  <si>
    <t>2025.7.26</t>
  </si>
  <si>
    <t>2025.7.27</t>
  </si>
  <si>
    <t>2025.7.28</t>
  </si>
  <si>
    <t>2025.7.29</t>
  </si>
  <si>
    <t>2025.7.30</t>
  </si>
  <si>
    <t>2025.7.31</t>
  </si>
  <si>
    <t>2025年阜外华中心血管病医院职工8月份地下停车场停车记录</t>
  </si>
  <si>
    <t>2025.8.1</t>
  </si>
  <si>
    <t>2025.8.2</t>
  </si>
  <si>
    <t>2025.8.3</t>
  </si>
  <si>
    <t>2025.8.4</t>
  </si>
  <si>
    <t>2025.8.5</t>
  </si>
  <si>
    <t>2025.8.6</t>
  </si>
  <si>
    <t>2025.8.7</t>
  </si>
  <si>
    <t>2025.8.8</t>
  </si>
  <si>
    <t>2025.8.9</t>
  </si>
  <si>
    <t>2025.8.10</t>
  </si>
  <si>
    <t>2025.8.11</t>
  </si>
  <si>
    <t>2025.8.12</t>
  </si>
  <si>
    <t>2025.8.13</t>
  </si>
  <si>
    <t>2025.8.14</t>
  </si>
  <si>
    <t>2025.8.15</t>
  </si>
  <si>
    <t>2025.8.16</t>
  </si>
  <si>
    <t>2025.8.17</t>
  </si>
  <si>
    <t>2025.8.18</t>
  </si>
  <si>
    <t>2025.8.19</t>
  </si>
  <si>
    <t>2025.8.20</t>
  </si>
  <si>
    <t>2025.8.21</t>
  </si>
  <si>
    <t>2025.8.22</t>
  </si>
  <si>
    <t>2025.8.23</t>
  </si>
  <si>
    <t>2025.8.24</t>
  </si>
  <si>
    <t>2025.8.25</t>
  </si>
  <si>
    <t>2025.8.26</t>
  </si>
  <si>
    <t>2025.8.27</t>
  </si>
  <si>
    <t>2025.8.28</t>
  </si>
  <si>
    <t>2025.8.29</t>
  </si>
  <si>
    <t>2025.8.30</t>
  </si>
  <si>
    <t>2025.8.31</t>
  </si>
  <si>
    <t>2025年阜外华中心血管病医院职工9月份地下停车场停车记录</t>
  </si>
  <si>
    <t>2025.9.1</t>
  </si>
  <si>
    <t>2025.9.2</t>
  </si>
  <si>
    <t>2025.9.3</t>
  </si>
  <si>
    <t>2025.9.4</t>
  </si>
  <si>
    <t>2025.9.5</t>
  </si>
  <si>
    <t>2025.9.6</t>
  </si>
  <si>
    <t>2025.9.7</t>
  </si>
  <si>
    <t>2025.9.8</t>
  </si>
  <si>
    <t>2025.9.9</t>
  </si>
  <si>
    <t>2025.9.10</t>
  </si>
  <si>
    <t>2025.9.11</t>
  </si>
  <si>
    <t>2025.9.12</t>
  </si>
  <si>
    <t>2025.9.13</t>
  </si>
  <si>
    <t>2025.9.14</t>
  </si>
  <si>
    <t>2025.9.15</t>
  </si>
  <si>
    <t>2025.9.16</t>
  </si>
  <si>
    <t>2025.9.17</t>
  </si>
  <si>
    <t>2025.9.18</t>
  </si>
  <si>
    <t>2025.9.19</t>
  </si>
  <si>
    <t>2025.9.20</t>
  </si>
  <si>
    <t>2025.9.21</t>
  </si>
  <si>
    <t>2025.9.22</t>
  </si>
  <si>
    <t>2025.9.23</t>
  </si>
  <si>
    <t>2025.9.24</t>
  </si>
  <si>
    <t>2025.9.25</t>
  </si>
  <si>
    <t>2025.9.26</t>
  </si>
  <si>
    <t>2025.9.27</t>
  </si>
  <si>
    <t>2025.9.28</t>
  </si>
  <si>
    <t>2025.9.29</t>
  </si>
  <si>
    <t>2025.9.30</t>
  </si>
  <si>
    <t>2025年阜外华中心血管病医院职工10月份地下停车场停车记录</t>
  </si>
  <si>
    <t>2025.10.1</t>
  </si>
  <si>
    <t>2025.10.2</t>
  </si>
  <si>
    <t>2025.10.3</t>
  </si>
  <si>
    <t>2025.10.4</t>
  </si>
  <si>
    <t>2025.10.5</t>
  </si>
  <si>
    <t>2025.10.6</t>
  </si>
  <si>
    <t>2025.10.7</t>
  </si>
  <si>
    <t>2025.10.8</t>
  </si>
  <si>
    <t>2025.10.9</t>
  </si>
  <si>
    <t>2025.10.10</t>
  </si>
  <si>
    <t>2025.10.11</t>
  </si>
  <si>
    <t>2025.10.12</t>
  </si>
  <si>
    <t>2025.10.13</t>
  </si>
  <si>
    <t>2025.10.14</t>
  </si>
  <si>
    <t>2025.10.15</t>
  </si>
  <si>
    <t>2025.10.16</t>
  </si>
  <si>
    <t>2025.10.17</t>
  </si>
  <si>
    <t>2025.10.18</t>
  </si>
  <si>
    <t>2025.10.19</t>
  </si>
  <si>
    <t>2025.10.20</t>
  </si>
  <si>
    <t>2025.10.21</t>
  </si>
  <si>
    <t>2025.10.22</t>
  </si>
  <si>
    <t>2025.10.23</t>
  </si>
  <si>
    <t>2025.10.24</t>
  </si>
  <si>
    <t>2025.10.25</t>
  </si>
  <si>
    <t>2025.10.26</t>
  </si>
  <si>
    <t>2025.10.27</t>
  </si>
  <si>
    <t>2025.10.28</t>
  </si>
  <si>
    <t>2025.10.29</t>
  </si>
  <si>
    <t>2025.10.30</t>
  </si>
  <si>
    <t>2025.10.31</t>
  </si>
  <si>
    <t>2025年阜外华中心血管病医院职工11月份地下停车场停车记录</t>
  </si>
  <si>
    <t>2025.11.1</t>
  </si>
  <si>
    <t>2025.11.2</t>
  </si>
  <si>
    <t>2025.11.3</t>
  </si>
  <si>
    <t>2025.11.4</t>
  </si>
  <si>
    <t>2025.11.5</t>
  </si>
  <si>
    <t>2025.11.6</t>
  </si>
  <si>
    <t>2025.11.7</t>
  </si>
  <si>
    <t>2025.11.8</t>
  </si>
  <si>
    <t>2025.11.9</t>
  </si>
  <si>
    <t>2025.11.10</t>
  </si>
  <si>
    <t>2025.11.11</t>
  </si>
  <si>
    <t>2025.11.12</t>
  </si>
  <si>
    <t>2025.11.13</t>
  </si>
  <si>
    <t>2025.11.14</t>
  </si>
  <si>
    <t>2025.11.15</t>
  </si>
  <si>
    <t>2025.11.16</t>
  </si>
  <si>
    <t>2025.11.17</t>
  </si>
  <si>
    <t>2025.11.18</t>
  </si>
  <si>
    <t>2025.11.19</t>
  </si>
  <si>
    <t>2025.11.20</t>
  </si>
  <si>
    <t>2025.11.21</t>
  </si>
  <si>
    <t>2025.11.22</t>
  </si>
  <si>
    <t>2025.11.23</t>
  </si>
  <si>
    <t>2025.11.24</t>
  </si>
  <si>
    <t>2025.11.25</t>
  </si>
  <si>
    <t>2025.11.26</t>
  </si>
  <si>
    <t>2025.11.27</t>
  </si>
  <si>
    <t>2025.11.28</t>
  </si>
  <si>
    <t>2025.11.29</t>
  </si>
  <si>
    <t>2025.11.30</t>
  </si>
  <si>
    <t>2025年阜外华中心血管病医院职工12月份地下停车场停车记录</t>
  </si>
  <si>
    <t>2025.12.1</t>
  </si>
  <si>
    <t>2025.12.2</t>
  </si>
  <si>
    <t>2025.12.3</t>
  </si>
  <si>
    <t>2025.12.4</t>
  </si>
  <si>
    <t>2025.12.5</t>
  </si>
  <si>
    <t>2025.12.6</t>
  </si>
  <si>
    <t>2025.12.7</t>
  </si>
  <si>
    <t>2025.12.8</t>
  </si>
  <si>
    <t>2025.12.9</t>
  </si>
  <si>
    <t>2025.12.10</t>
  </si>
  <si>
    <t>2025.12.11</t>
  </si>
  <si>
    <t>2025.12.12</t>
  </si>
  <si>
    <t>2025.12.13</t>
  </si>
  <si>
    <t>2025.12.14</t>
  </si>
  <si>
    <t>2025.12.15</t>
  </si>
  <si>
    <t>2025.12.16</t>
  </si>
  <si>
    <t>2025.12.17</t>
  </si>
  <si>
    <t>2025.12.18</t>
  </si>
  <si>
    <t>2025.12.19</t>
  </si>
  <si>
    <t>2025.12.20</t>
  </si>
  <si>
    <t>2025.12.21</t>
  </si>
  <si>
    <t>2025.12.22</t>
  </si>
  <si>
    <t>2025.12.23</t>
  </si>
  <si>
    <t>2025.12.24</t>
  </si>
  <si>
    <t>2025.12.25</t>
  </si>
  <si>
    <t>2025.12.26</t>
  </si>
  <si>
    <t>2025.12.27</t>
  </si>
  <si>
    <t>2025.12.28</t>
  </si>
  <si>
    <t>2025.12.29</t>
  </si>
  <si>
    <t>2025.12.30</t>
  </si>
  <si>
    <t>2025.12.31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</si>
</sst>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"/>
    <numFmt numFmtId="177" formatCode="0.00_ "/>
  </numFmts>
  <fonts count="30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b/>
      <sz val="2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b/>
      <sz val="14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7" applyNumberFormat="0" applyAlignment="0" applyProtection="0">
      <alignment vertical="center"/>
    </xf>
    <xf numFmtId="0" fontId="20" fillId="4" borderId="18" applyNumberFormat="0" applyAlignment="0" applyProtection="0">
      <alignment vertical="center"/>
    </xf>
    <xf numFmtId="0" fontId="21" fillId="4" borderId="17" applyNumberFormat="0" applyAlignment="0" applyProtection="0">
      <alignment vertical="center"/>
    </xf>
    <xf numFmtId="0" fontId="22" fillId="5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176" fontId="0" fillId="0" borderId="6" xfId="0" applyNumberForma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57" fontId="6" fillId="0" borderId="3" xfId="0" applyNumberFormat="1" applyFont="1" applyBorder="1" applyAlignment="1">
      <alignment horizontal="left" vertical="center"/>
    </xf>
    <xf numFmtId="2" fontId="6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57" fontId="8" fillId="0" borderId="3" xfId="0" applyNumberFormat="1" applyFont="1" applyBorder="1" applyAlignment="1">
      <alignment horizontal="left" vertical="center"/>
    </xf>
    <xf numFmtId="2" fontId="8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176" fontId="10" fillId="0" borderId="3" xfId="0" applyNumberFormat="1" applyFont="1" applyBorder="1" applyAlignment="1">
      <alignment horizontal="center" vertical="center"/>
    </xf>
    <xf numFmtId="57" fontId="5" fillId="0" borderId="3" xfId="0" applyNumberFormat="1" applyFont="1" applyBorder="1" applyAlignment="1">
      <alignment horizontal="left" vertical="center"/>
    </xf>
    <xf numFmtId="2" fontId="5" fillId="0" borderId="3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7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C18" sqref="C18"/>
    </sheetView>
  </sheetViews>
  <sheetFormatPr defaultColWidth="9" defaultRowHeight="16.8" outlineLevelCol="6"/>
  <cols>
    <col min="1" max="1" width="15.25" customWidth="1"/>
    <col min="2" max="2" width="37.75" customWidth="1"/>
    <col min="3" max="3" width="33" customWidth="1"/>
    <col min="4" max="4" width="25.625" customWidth="1"/>
    <col min="5" max="5" width="21.625" customWidth="1"/>
    <col min="6" max="6" width="24.25" customWidth="1"/>
    <col min="7" max="7" width="28.125" customWidth="1"/>
  </cols>
  <sheetData>
    <row r="1" ht="27" customHeight="1" spans="1:7">
      <c r="A1" s="9" t="s">
        <v>0</v>
      </c>
      <c r="B1" s="9"/>
      <c r="C1" s="9"/>
      <c r="D1" s="10" t="s">
        <v>1</v>
      </c>
      <c r="E1" s="26"/>
      <c r="F1" s="26"/>
      <c r="G1" s="27"/>
    </row>
    <row r="2" ht="27" customHeight="1" spans="1:7">
      <c r="A2" s="11" t="s">
        <v>2</v>
      </c>
      <c r="B2" s="11"/>
      <c r="C2" s="11"/>
      <c r="D2" s="12"/>
      <c r="E2" s="28"/>
      <c r="F2" s="28"/>
      <c r="G2" s="29"/>
    </row>
    <row r="3" ht="27" customHeight="1" spans="1:7">
      <c r="A3" s="13" t="s">
        <v>3</v>
      </c>
      <c r="B3" s="13" t="s">
        <v>4</v>
      </c>
      <c r="C3" s="13" t="s">
        <v>5</v>
      </c>
      <c r="D3" s="14" t="s">
        <v>6</v>
      </c>
      <c r="E3" s="4" t="s">
        <v>7</v>
      </c>
      <c r="F3" s="4" t="s">
        <v>8</v>
      </c>
      <c r="G3" s="4" t="s">
        <v>9</v>
      </c>
    </row>
    <row r="4" ht="27" customHeight="1" spans="1:7">
      <c r="A4" s="15">
        <v>1</v>
      </c>
      <c r="B4" s="16">
        <v>45658</v>
      </c>
      <c r="C4" s="17">
        <v>73521</v>
      </c>
      <c r="D4" s="18">
        <v>19942</v>
      </c>
      <c r="E4" s="30"/>
      <c r="F4" s="31"/>
      <c r="G4" s="31"/>
    </row>
    <row r="5" ht="27" customHeight="1" spans="1:7">
      <c r="A5" s="15">
        <v>2</v>
      </c>
      <c r="B5" s="16">
        <v>45689</v>
      </c>
      <c r="C5" s="17">
        <v>68289</v>
      </c>
      <c r="D5" s="4">
        <v>19004</v>
      </c>
      <c r="E5" s="32"/>
      <c r="F5" s="33"/>
      <c r="G5" s="33"/>
    </row>
    <row r="6" ht="27" customHeight="1" spans="1:7">
      <c r="A6" s="15">
        <v>3</v>
      </c>
      <c r="B6" s="16">
        <v>45717</v>
      </c>
      <c r="C6" s="17">
        <v>79407</v>
      </c>
      <c r="D6" s="4">
        <v>21875</v>
      </c>
      <c r="E6" s="32"/>
      <c r="F6" s="33"/>
      <c r="G6" s="33"/>
    </row>
    <row r="7" ht="27" customHeight="1" spans="1:7">
      <c r="A7" s="15">
        <v>4</v>
      </c>
      <c r="B7" s="19" t="s">
        <v>10</v>
      </c>
      <c r="C7" s="20">
        <f>SUM(C4:C6)</f>
        <v>221217</v>
      </c>
      <c r="D7" s="21">
        <f>SUM(D4:D6)</f>
        <v>60821</v>
      </c>
      <c r="E7" s="32"/>
      <c r="F7" s="33"/>
      <c r="G7" s="33"/>
    </row>
    <row r="8" ht="27" customHeight="1" spans="1:7">
      <c r="A8" s="15">
        <v>5</v>
      </c>
      <c r="B8" s="16">
        <v>45748</v>
      </c>
      <c r="C8" s="17">
        <v>75318</v>
      </c>
      <c r="D8" s="4">
        <v>20477</v>
      </c>
      <c r="E8" s="32"/>
      <c r="F8" s="33"/>
      <c r="G8" s="33"/>
    </row>
    <row r="9" ht="27" customHeight="1" spans="1:7">
      <c r="A9" s="15">
        <v>6</v>
      </c>
      <c r="B9" s="16">
        <v>45778</v>
      </c>
      <c r="C9" s="17">
        <v>74067</v>
      </c>
      <c r="D9" s="4">
        <v>19878</v>
      </c>
      <c r="E9" s="32"/>
      <c r="F9" s="33"/>
      <c r="G9" s="33"/>
    </row>
    <row r="10" ht="27" customHeight="1" spans="1:7">
      <c r="A10" s="15">
        <v>7</v>
      </c>
      <c r="B10" s="16">
        <v>45809</v>
      </c>
      <c r="C10" s="17">
        <v>73506</v>
      </c>
      <c r="D10" s="18">
        <v>20097</v>
      </c>
      <c r="E10" s="32"/>
      <c r="F10" s="33"/>
      <c r="G10" s="33"/>
    </row>
    <row r="11" ht="27" customHeight="1" spans="1:7">
      <c r="A11" s="15">
        <v>8</v>
      </c>
      <c r="B11" s="19" t="s">
        <v>11</v>
      </c>
      <c r="C11" s="20">
        <f>SUM(C8:C10)</f>
        <v>222891</v>
      </c>
      <c r="D11" s="21">
        <f>SUM(D8:D10)</f>
        <v>60452</v>
      </c>
      <c r="E11" s="32"/>
      <c r="F11" s="33"/>
      <c r="G11" s="33"/>
    </row>
    <row r="12" ht="27" customHeight="1" spans="1:7">
      <c r="A12" s="15">
        <v>9</v>
      </c>
      <c r="B12" s="16">
        <v>45839</v>
      </c>
      <c r="C12" s="17">
        <v>80223</v>
      </c>
      <c r="D12" s="14">
        <v>21630</v>
      </c>
      <c r="E12" s="34"/>
      <c r="F12" s="33"/>
      <c r="G12" s="33"/>
    </row>
    <row r="13" ht="27" customHeight="1" spans="1:7">
      <c r="A13" s="15">
        <v>10</v>
      </c>
      <c r="B13" s="16">
        <v>45870</v>
      </c>
      <c r="C13" s="17">
        <v>76992</v>
      </c>
      <c r="D13" s="14">
        <v>20263</v>
      </c>
      <c r="E13" s="33"/>
      <c r="F13" s="33"/>
      <c r="G13" s="33"/>
    </row>
    <row r="14" ht="27" customHeight="1" spans="1:7">
      <c r="A14" s="15">
        <v>11</v>
      </c>
      <c r="B14" s="16">
        <v>45901</v>
      </c>
      <c r="C14" s="17">
        <v>80949</v>
      </c>
      <c r="D14" s="22">
        <v>22444</v>
      </c>
      <c r="E14" s="33"/>
      <c r="F14" s="33"/>
      <c r="G14" s="33"/>
    </row>
    <row r="15" ht="27" customHeight="1" spans="1:7">
      <c r="A15" s="15">
        <v>12</v>
      </c>
      <c r="B15" s="19" t="s">
        <v>12</v>
      </c>
      <c r="C15" s="20">
        <f>C12+C13+C14</f>
        <v>238164</v>
      </c>
      <c r="D15" s="23">
        <f>D12+D13+D14</f>
        <v>64337</v>
      </c>
      <c r="E15" s="33"/>
      <c r="F15" s="33"/>
      <c r="G15" s="33"/>
    </row>
    <row r="16" ht="27" customHeight="1" spans="1:7">
      <c r="A16" s="15">
        <v>13</v>
      </c>
      <c r="B16" s="16">
        <v>45931</v>
      </c>
      <c r="C16" s="17">
        <v>74973</v>
      </c>
      <c r="D16" s="22">
        <v>20791</v>
      </c>
      <c r="E16" s="33"/>
      <c r="F16" s="33"/>
      <c r="G16" s="33"/>
    </row>
    <row r="17" ht="27" customHeight="1" spans="1:7">
      <c r="A17" s="15">
        <v>14</v>
      </c>
      <c r="B17" s="16">
        <v>45962</v>
      </c>
      <c r="C17" s="17">
        <v>79677</v>
      </c>
      <c r="D17" s="22">
        <v>21953</v>
      </c>
      <c r="E17" s="33"/>
      <c r="F17" s="33"/>
      <c r="G17" s="33"/>
    </row>
    <row r="18" ht="27" customHeight="1" spans="1:7">
      <c r="A18" s="15">
        <v>15</v>
      </c>
      <c r="B18" s="16">
        <v>45992</v>
      </c>
      <c r="C18" s="17">
        <v>90225</v>
      </c>
      <c r="D18" s="22">
        <v>24687</v>
      </c>
      <c r="E18" s="33"/>
      <c r="F18" s="33"/>
      <c r="G18" s="33"/>
    </row>
    <row r="19" ht="27" customHeight="1" spans="1:7">
      <c r="A19" s="15">
        <v>16</v>
      </c>
      <c r="B19" s="19" t="s">
        <v>13</v>
      </c>
      <c r="C19" s="20">
        <f>C16+C17+C18</f>
        <v>244875</v>
      </c>
      <c r="D19" s="23">
        <f>D16+D17+D18</f>
        <v>67431</v>
      </c>
      <c r="E19" s="33"/>
      <c r="F19" s="33"/>
      <c r="G19" s="33"/>
    </row>
    <row r="20" ht="27" customHeight="1" spans="1:7">
      <c r="A20" s="15">
        <v>17</v>
      </c>
      <c r="B20" s="24" t="s">
        <v>14</v>
      </c>
      <c r="C20" s="25">
        <f>C7+C11+C15+C19</f>
        <v>927147</v>
      </c>
      <c r="D20" s="14">
        <f>D7+D11+D15+D19</f>
        <v>253041</v>
      </c>
      <c r="E20" s="35"/>
      <c r="F20" s="35"/>
      <c r="G20" s="35"/>
    </row>
  </sheetData>
  <mergeCells count="7">
    <mergeCell ref="A1:C1"/>
    <mergeCell ref="A2:C2"/>
    <mergeCell ref="E4:E11"/>
    <mergeCell ref="E12:E20"/>
    <mergeCell ref="F4:F20"/>
    <mergeCell ref="G4:G20"/>
    <mergeCell ref="D1:G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workbookViewId="0">
      <selection activeCell="O15" sqref="O15"/>
    </sheetView>
  </sheetViews>
  <sheetFormatPr defaultColWidth="9" defaultRowHeight="16.8"/>
  <cols>
    <col min="2" max="2" width="16.5" customWidth="1"/>
    <col min="3" max="3" width="18.375" customWidth="1"/>
    <col min="4" max="5" width="18.25" customWidth="1"/>
    <col min="6" max="6" width="19.75" customWidth="1"/>
    <col min="7" max="7" width="18.25" customWidth="1"/>
    <col min="11" max="11" width="25.25" customWidth="1"/>
    <col min="12" max="12" width="24" customWidth="1"/>
  </cols>
  <sheetData>
    <row r="1" ht="44" customHeight="1" spans="1:12">
      <c r="A1" s="1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8"/>
    </row>
    <row r="2" ht="29" customHeight="1" spans="1:12">
      <c r="A2" s="3" t="s">
        <v>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6" t="s">
        <v>21</v>
      </c>
      <c r="H2" s="7" t="s">
        <v>22</v>
      </c>
      <c r="I2" s="3"/>
      <c r="J2" s="3"/>
      <c r="K2" s="6" t="s">
        <v>23</v>
      </c>
      <c r="L2" s="3" t="s">
        <v>24</v>
      </c>
    </row>
    <row r="3" ht="18" customHeight="1" spans="1:12">
      <c r="A3" s="3">
        <v>1</v>
      </c>
      <c r="B3" s="3" t="s">
        <v>25</v>
      </c>
      <c r="C3" s="3">
        <v>389</v>
      </c>
      <c r="D3" s="3">
        <v>395</v>
      </c>
      <c r="E3" s="3">
        <v>395</v>
      </c>
      <c r="F3" s="3">
        <v>3</v>
      </c>
      <c r="G3" s="3">
        <f t="shared" ref="G3:G34" si="0">E3*F3</f>
        <v>1185</v>
      </c>
      <c r="H3" s="3" t="s">
        <v>26</v>
      </c>
      <c r="I3" s="3">
        <v>1518</v>
      </c>
      <c r="J3" s="6">
        <v>3</v>
      </c>
      <c r="K3" s="3">
        <f t="shared" ref="K3:K33" si="1">I3*J3</f>
        <v>4554</v>
      </c>
      <c r="L3" s="3">
        <f t="shared" ref="L3:L34" si="2">G3+K3</f>
        <v>5739</v>
      </c>
    </row>
    <row r="4" ht="18" customHeight="1" spans="1:12">
      <c r="A4" s="3">
        <v>2</v>
      </c>
      <c r="B4" s="3" t="s">
        <v>27</v>
      </c>
      <c r="C4" s="3">
        <v>810</v>
      </c>
      <c r="D4" s="3">
        <v>772</v>
      </c>
      <c r="E4" s="3">
        <v>772</v>
      </c>
      <c r="F4" s="4">
        <v>3</v>
      </c>
      <c r="G4" s="3">
        <f t="shared" si="0"/>
        <v>2316</v>
      </c>
      <c r="H4" s="3" t="s">
        <v>28</v>
      </c>
      <c r="I4" s="3">
        <v>287</v>
      </c>
      <c r="J4" s="6">
        <v>6</v>
      </c>
      <c r="K4" s="3">
        <f t="shared" si="1"/>
        <v>1722</v>
      </c>
      <c r="L4" s="3">
        <f t="shared" si="2"/>
        <v>4038</v>
      </c>
    </row>
    <row r="5" ht="18" customHeight="1" spans="1:12">
      <c r="A5" s="3">
        <v>3</v>
      </c>
      <c r="B5" s="3" t="s">
        <v>29</v>
      </c>
      <c r="C5" s="3">
        <v>801</v>
      </c>
      <c r="D5" s="3">
        <v>810</v>
      </c>
      <c r="E5" s="3">
        <v>810</v>
      </c>
      <c r="F5" s="4">
        <v>3</v>
      </c>
      <c r="G5" s="3">
        <f t="shared" si="0"/>
        <v>2430</v>
      </c>
      <c r="H5" s="3" t="s">
        <v>30</v>
      </c>
      <c r="I5" s="3">
        <v>129</v>
      </c>
      <c r="J5" s="6">
        <v>9</v>
      </c>
      <c r="K5" s="3">
        <f t="shared" si="1"/>
        <v>1161</v>
      </c>
      <c r="L5" s="3">
        <f t="shared" si="2"/>
        <v>3591</v>
      </c>
    </row>
    <row r="6" ht="18" customHeight="1" spans="1:12">
      <c r="A6" s="3">
        <v>4</v>
      </c>
      <c r="B6" s="3" t="s">
        <v>31</v>
      </c>
      <c r="C6" s="3">
        <v>419</v>
      </c>
      <c r="D6" s="3">
        <v>446</v>
      </c>
      <c r="E6" s="3">
        <v>446</v>
      </c>
      <c r="F6" s="4">
        <v>3</v>
      </c>
      <c r="G6" s="3">
        <f t="shared" si="0"/>
        <v>1338</v>
      </c>
      <c r="H6" s="3" t="s">
        <v>32</v>
      </c>
      <c r="I6" s="3">
        <v>55</v>
      </c>
      <c r="J6" s="6">
        <v>12</v>
      </c>
      <c r="K6" s="3">
        <f t="shared" si="1"/>
        <v>660</v>
      </c>
      <c r="L6" s="3">
        <f t="shared" si="2"/>
        <v>1998</v>
      </c>
    </row>
    <row r="7" ht="18" customHeight="1" spans="1:12">
      <c r="A7" s="3">
        <v>5</v>
      </c>
      <c r="B7" s="3" t="s">
        <v>33</v>
      </c>
      <c r="C7" s="3">
        <v>378</v>
      </c>
      <c r="D7" s="3">
        <v>400</v>
      </c>
      <c r="E7" s="3">
        <v>400</v>
      </c>
      <c r="F7" s="4">
        <v>3</v>
      </c>
      <c r="G7" s="3">
        <f t="shared" si="0"/>
        <v>1200</v>
      </c>
      <c r="H7" s="3" t="s">
        <v>34</v>
      </c>
      <c r="I7" s="3">
        <v>38</v>
      </c>
      <c r="J7" s="6">
        <v>15</v>
      </c>
      <c r="K7" s="3">
        <f t="shared" si="1"/>
        <v>570</v>
      </c>
      <c r="L7" s="3">
        <f t="shared" si="2"/>
        <v>1770</v>
      </c>
    </row>
    <row r="8" ht="18" customHeight="1" spans="1:12">
      <c r="A8" s="3">
        <v>6</v>
      </c>
      <c r="B8" s="3" t="s">
        <v>35</v>
      </c>
      <c r="C8" s="4">
        <v>866</v>
      </c>
      <c r="D8" s="4">
        <v>824</v>
      </c>
      <c r="E8" s="4">
        <v>824</v>
      </c>
      <c r="F8" s="4">
        <v>3</v>
      </c>
      <c r="G8" s="3">
        <f t="shared" si="0"/>
        <v>2472</v>
      </c>
      <c r="H8" s="3" t="s">
        <v>36</v>
      </c>
      <c r="I8" s="3">
        <v>29</v>
      </c>
      <c r="J8" s="6">
        <v>18</v>
      </c>
      <c r="K8" s="3">
        <f t="shared" si="1"/>
        <v>522</v>
      </c>
      <c r="L8" s="3">
        <f t="shared" si="2"/>
        <v>2994</v>
      </c>
    </row>
    <row r="9" ht="18" customHeight="1" spans="1:12">
      <c r="A9" s="3">
        <v>7</v>
      </c>
      <c r="B9" s="3" t="s">
        <v>37</v>
      </c>
      <c r="C9" s="4">
        <v>860</v>
      </c>
      <c r="D9" s="4">
        <v>858</v>
      </c>
      <c r="E9" s="4">
        <v>858</v>
      </c>
      <c r="F9" s="4">
        <v>3</v>
      </c>
      <c r="G9" s="3">
        <f t="shared" si="0"/>
        <v>2574</v>
      </c>
      <c r="H9" s="3" t="s">
        <v>38</v>
      </c>
      <c r="I9" s="3">
        <v>17</v>
      </c>
      <c r="J9" s="6">
        <v>21</v>
      </c>
      <c r="K9" s="3">
        <f t="shared" si="1"/>
        <v>357</v>
      </c>
      <c r="L9" s="3">
        <f t="shared" si="2"/>
        <v>2931</v>
      </c>
    </row>
    <row r="10" ht="18" customHeight="1" spans="1:12">
      <c r="A10" s="3">
        <v>8</v>
      </c>
      <c r="B10" s="3" t="s">
        <v>39</v>
      </c>
      <c r="C10" s="4">
        <v>826</v>
      </c>
      <c r="D10" s="4">
        <v>831</v>
      </c>
      <c r="E10" s="4">
        <v>831</v>
      </c>
      <c r="F10" s="4">
        <v>3</v>
      </c>
      <c r="G10" s="3">
        <f t="shared" si="0"/>
        <v>2493</v>
      </c>
      <c r="H10" s="3" t="s">
        <v>40</v>
      </c>
      <c r="I10" s="3">
        <v>11</v>
      </c>
      <c r="J10" s="6">
        <v>24</v>
      </c>
      <c r="K10" s="3">
        <f t="shared" si="1"/>
        <v>264</v>
      </c>
      <c r="L10" s="3">
        <f t="shared" si="2"/>
        <v>2757</v>
      </c>
    </row>
    <row r="11" ht="18" customHeight="1" spans="1:12">
      <c r="A11" s="3">
        <v>9</v>
      </c>
      <c r="B11" s="3" t="s">
        <v>41</v>
      </c>
      <c r="C11" s="4">
        <v>843</v>
      </c>
      <c r="D11" s="4">
        <v>860</v>
      </c>
      <c r="E11" s="4">
        <v>860</v>
      </c>
      <c r="F11" s="4">
        <v>3</v>
      </c>
      <c r="G11" s="3">
        <f t="shared" si="0"/>
        <v>2580</v>
      </c>
      <c r="H11" s="3" t="s">
        <v>42</v>
      </c>
      <c r="I11" s="3">
        <v>8</v>
      </c>
      <c r="J11" s="6">
        <v>27</v>
      </c>
      <c r="K11" s="3">
        <f t="shared" si="1"/>
        <v>216</v>
      </c>
      <c r="L11" s="3">
        <f t="shared" si="2"/>
        <v>2796</v>
      </c>
    </row>
    <row r="12" ht="18" customHeight="1" spans="1:12">
      <c r="A12" s="3">
        <v>10</v>
      </c>
      <c r="B12" s="3" t="s">
        <v>43</v>
      </c>
      <c r="C12" s="4">
        <v>834</v>
      </c>
      <c r="D12" s="4">
        <v>839</v>
      </c>
      <c r="E12" s="4">
        <v>839</v>
      </c>
      <c r="F12" s="4">
        <v>3</v>
      </c>
      <c r="G12" s="3">
        <f t="shared" si="0"/>
        <v>2517</v>
      </c>
      <c r="H12" s="3" t="s">
        <v>44</v>
      </c>
      <c r="I12" s="3">
        <v>2</v>
      </c>
      <c r="J12" s="6">
        <v>30</v>
      </c>
      <c r="K12" s="3">
        <f t="shared" si="1"/>
        <v>60</v>
      </c>
      <c r="L12" s="3">
        <f t="shared" si="2"/>
        <v>2577</v>
      </c>
    </row>
    <row r="13" ht="18" customHeight="1" spans="1:12">
      <c r="A13" s="3">
        <v>11</v>
      </c>
      <c r="B13" s="3" t="s">
        <v>45</v>
      </c>
      <c r="C13" s="4">
        <v>439</v>
      </c>
      <c r="D13" s="4">
        <v>481</v>
      </c>
      <c r="E13" s="4">
        <v>481</v>
      </c>
      <c r="F13" s="4">
        <v>3</v>
      </c>
      <c r="G13" s="3">
        <f t="shared" si="0"/>
        <v>1443</v>
      </c>
      <c r="H13" s="3" t="s">
        <v>46</v>
      </c>
      <c r="I13" s="3">
        <v>2</v>
      </c>
      <c r="J13" s="6">
        <v>33</v>
      </c>
      <c r="K13" s="3">
        <f t="shared" si="1"/>
        <v>66</v>
      </c>
      <c r="L13" s="3">
        <f t="shared" si="2"/>
        <v>1509</v>
      </c>
    </row>
    <row r="14" ht="18" customHeight="1" spans="1:12">
      <c r="A14" s="3">
        <v>12</v>
      </c>
      <c r="B14" s="3" t="s">
        <v>47</v>
      </c>
      <c r="C14" s="4">
        <v>411</v>
      </c>
      <c r="D14" s="4">
        <v>404</v>
      </c>
      <c r="E14" s="4">
        <v>404</v>
      </c>
      <c r="F14" s="4">
        <v>3</v>
      </c>
      <c r="G14" s="3">
        <f t="shared" si="0"/>
        <v>1212</v>
      </c>
      <c r="H14" s="3" t="s">
        <v>48</v>
      </c>
      <c r="I14" s="3">
        <v>3</v>
      </c>
      <c r="J14" s="6">
        <v>36</v>
      </c>
      <c r="K14" s="3">
        <f t="shared" si="1"/>
        <v>108</v>
      </c>
      <c r="L14" s="3">
        <f t="shared" si="2"/>
        <v>1320</v>
      </c>
    </row>
    <row r="15" ht="18" customHeight="1" spans="1:12">
      <c r="A15" s="3">
        <v>13</v>
      </c>
      <c r="B15" s="3" t="s">
        <v>49</v>
      </c>
      <c r="C15" s="4">
        <v>854</v>
      </c>
      <c r="D15" s="4">
        <v>833</v>
      </c>
      <c r="E15" s="4">
        <v>833</v>
      </c>
      <c r="F15" s="4">
        <v>3</v>
      </c>
      <c r="G15" s="3">
        <f t="shared" si="0"/>
        <v>2499</v>
      </c>
      <c r="H15" s="3" t="s">
        <v>50</v>
      </c>
      <c r="I15" s="3">
        <v>2</v>
      </c>
      <c r="J15" s="6">
        <v>39</v>
      </c>
      <c r="K15" s="3">
        <f t="shared" si="1"/>
        <v>78</v>
      </c>
      <c r="L15" s="3">
        <f t="shared" si="2"/>
        <v>2577</v>
      </c>
    </row>
    <row r="16" ht="18" customHeight="1" spans="1:12">
      <c r="A16" s="3">
        <v>14</v>
      </c>
      <c r="B16" s="3" t="s">
        <v>51</v>
      </c>
      <c r="C16" s="4">
        <v>852</v>
      </c>
      <c r="D16" s="4">
        <v>867</v>
      </c>
      <c r="E16" s="4">
        <v>867</v>
      </c>
      <c r="F16" s="4">
        <v>3</v>
      </c>
      <c r="G16" s="3">
        <f t="shared" si="0"/>
        <v>2601</v>
      </c>
      <c r="H16" s="3" t="s">
        <v>52</v>
      </c>
      <c r="I16" s="3">
        <v>2</v>
      </c>
      <c r="J16" s="6">
        <v>42</v>
      </c>
      <c r="K16" s="3">
        <f t="shared" si="1"/>
        <v>84</v>
      </c>
      <c r="L16" s="3">
        <f t="shared" si="2"/>
        <v>2685</v>
      </c>
    </row>
    <row r="17" ht="18" customHeight="1" spans="1:12">
      <c r="A17" s="3">
        <v>15</v>
      </c>
      <c r="B17" s="3" t="s">
        <v>53</v>
      </c>
      <c r="C17" s="4">
        <v>841</v>
      </c>
      <c r="D17" s="4">
        <v>851</v>
      </c>
      <c r="E17" s="4">
        <v>851</v>
      </c>
      <c r="F17" s="4">
        <v>3</v>
      </c>
      <c r="G17" s="3">
        <f t="shared" si="0"/>
        <v>2553</v>
      </c>
      <c r="H17" s="3" t="s">
        <v>54</v>
      </c>
      <c r="I17" s="3">
        <v>5</v>
      </c>
      <c r="J17" s="6">
        <v>45</v>
      </c>
      <c r="K17" s="3">
        <f t="shared" si="1"/>
        <v>225</v>
      </c>
      <c r="L17" s="3">
        <f t="shared" si="2"/>
        <v>2778</v>
      </c>
    </row>
    <row r="18" ht="18" customHeight="1" spans="1:12">
      <c r="A18" s="3">
        <v>16</v>
      </c>
      <c r="B18" s="3" t="s">
        <v>55</v>
      </c>
      <c r="C18" s="4">
        <v>848</v>
      </c>
      <c r="D18" s="4">
        <v>853</v>
      </c>
      <c r="E18" s="4">
        <v>853</v>
      </c>
      <c r="F18" s="4">
        <v>3</v>
      </c>
      <c r="G18" s="3">
        <f t="shared" si="0"/>
        <v>2559</v>
      </c>
      <c r="H18" s="3" t="s">
        <v>56</v>
      </c>
      <c r="I18" s="3">
        <v>3</v>
      </c>
      <c r="J18" s="6">
        <v>48</v>
      </c>
      <c r="K18" s="3">
        <f t="shared" si="1"/>
        <v>144</v>
      </c>
      <c r="L18" s="3">
        <f t="shared" si="2"/>
        <v>2703</v>
      </c>
    </row>
    <row r="19" ht="18" customHeight="1" spans="1:12">
      <c r="A19" s="3">
        <v>17</v>
      </c>
      <c r="B19" s="3" t="s">
        <v>57</v>
      </c>
      <c r="C19" s="4">
        <v>775</v>
      </c>
      <c r="D19" s="4">
        <v>797</v>
      </c>
      <c r="E19" s="4">
        <v>797</v>
      </c>
      <c r="F19" s="4">
        <v>3</v>
      </c>
      <c r="G19" s="3">
        <f t="shared" si="0"/>
        <v>2391</v>
      </c>
      <c r="H19" s="3" t="s">
        <v>58</v>
      </c>
      <c r="I19" s="3">
        <v>2</v>
      </c>
      <c r="J19" s="6">
        <v>51</v>
      </c>
      <c r="K19" s="3">
        <f t="shared" si="1"/>
        <v>102</v>
      </c>
      <c r="L19" s="3">
        <f t="shared" si="2"/>
        <v>2493</v>
      </c>
    </row>
    <row r="20" ht="18" customHeight="1" spans="1:12">
      <c r="A20" s="3">
        <v>18</v>
      </c>
      <c r="B20" s="3" t="s">
        <v>59</v>
      </c>
      <c r="C20" s="4">
        <v>463</v>
      </c>
      <c r="D20" s="4">
        <v>492</v>
      </c>
      <c r="E20" s="4">
        <v>492</v>
      </c>
      <c r="F20" s="4">
        <v>3</v>
      </c>
      <c r="G20" s="3">
        <f t="shared" si="0"/>
        <v>1476</v>
      </c>
      <c r="H20" s="3" t="s">
        <v>60</v>
      </c>
      <c r="I20" s="3">
        <v>3</v>
      </c>
      <c r="J20" s="6">
        <v>54</v>
      </c>
      <c r="K20" s="3">
        <f t="shared" si="1"/>
        <v>162</v>
      </c>
      <c r="L20" s="3">
        <f t="shared" si="2"/>
        <v>1638</v>
      </c>
    </row>
    <row r="21" ht="18" customHeight="1" spans="1:12">
      <c r="A21" s="3">
        <v>19</v>
      </c>
      <c r="B21" s="3" t="s">
        <v>61</v>
      </c>
      <c r="C21" s="4">
        <v>437</v>
      </c>
      <c r="D21" s="4">
        <v>424</v>
      </c>
      <c r="E21" s="4">
        <v>424</v>
      </c>
      <c r="F21" s="4">
        <v>3</v>
      </c>
      <c r="G21" s="3">
        <f t="shared" si="0"/>
        <v>1272</v>
      </c>
      <c r="H21" s="3" t="s">
        <v>62</v>
      </c>
      <c r="I21" s="3">
        <v>0</v>
      </c>
      <c r="J21" s="6">
        <v>57</v>
      </c>
      <c r="K21" s="3">
        <f t="shared" si="1"/>
        <v>0</v>
      </c>
      <c r="L21" s="3">
        <f t="shared" si="2"/>
        <v>1272</v>
      </c>
    </row>
    <row r="22" ht="18" customHeight="1" spans="1:12">
      <c r="A22" s="3">
        <v>20</v>
      </c>
      <c r="B22" s="3" t="s">
        <v>63</v>
      </c>
      <c r="C22" s="4">
        <v>860</v>
      </c>
      <c r="D22" s="4">
        <v>853</v>
      </c>
      <c r="E22" s="4">
        <v>853</v>
      </c>
      <c r="F22" s="4">
        <v>3</v>
      </c>
      <c r="G22" s="3">
        <f t="shared" si="0"/>
        <v>2559</v>
      </c>
      <c r="H22" s="3" t="s">
        <v>64</v>
      </c>
      <c r="I22" s="3">
        <v>1</v>
      </c>
      <c r="J22" s="6">
        <v>60</v>
      </c>
      <c r="K22" s="3">
        <f t="shared" si="1"/>
        <v>60</v>
      </c>
      <c r="L22" s="3">
        <f t="shared" si="2"/>
        <v>2619</v>
      </c>
    </row>
    <row r="23" ht="18" customHeight="1" spans="1:12">
      <c r="A23" s="3">
        <v>21</v>
      </c>
      <c r="B23" s="3" t="s">
        <v>65</v>
      </c>
      <c r="C23" s="4">
        <v>825</v>
      </c>
      <c r="D23" s="4">
        <v>823</v>
      </c>
      <c r="E23" s="4">
        <v>823</v>
      </c>
      <c r="F23" s="4">
        <v>3</v>
      </c>
      <c r="G23" s="3">
        <f t="shared" si="0"/>
        <v>2469</v>
      </c>
      <c r="H23" s="3" t="s">
        <v>66</v>
      </c>
      <c r="I23" s="3">
        <v>3</v>
      </c>
      <c r="J23" s="6">
        <v>63</v>
      </c>
      <c r="K23" s="3">
        <f t="shared" si="1"/>
        <v>189</v>
      </c>
      <c r="L23" s="3">
        <f t="shared" si="2"/>
        <v>2658</v>
      </c>
    </row>
    <row r="24" ht="18" customHeight="1" spans="1:12">
      <c r="A24" s="3">
        <v>22</v>
      </c>
      <c r="B24" s="3" t="s">
        <v>67</v>
      </c>
      <c r="C24" s="4">
        <v>833</v>
      </c>
      <c r="D24" s="4">
        <v>839</v>
      </c>
      <c r="E24" s="4">
        <v>839</v>
      </c>
      <c r="F24" s="4">
        <v>3</v>
      </c>
      <c r="G24" s="3">
        <f t="shared" si="0"/>
        <v>2517</v>
      </c>
      <c r="H24" s="3" t="s">
        <v>68</v>
      </c>
      <c r="I24" s="3">
        <v>0</v>
      </c>
      <c r="J24" s="6">
        <v>66</v>
      </c>
      <c r="K24" s="3">
        <f t="shared" si="1"/>
        <v>0</v>
      </c>
      <c r="L24" s="3">
        <f t="shared" si="2"/>
        <v>2517</v>
      </c>
    </row>
    <row r="25" ht="18" customHeight="1" spans="1:12">
      <c r="A25" s="3">
        <v>23</v>
      </c>
      <c r="B25" s="3" t="s">
        <v>69</v>
      </c>
      <c r="C25" s="4">
        <v>816</v>
      </c>
      <c r="D25" s="4">
        <v>830</v>
      </c>
      <c r="E25" s="4">
        <v>830</v>
      </c>
      <c r="F25" s="4">
        <v>3</v>
      </c>
      <c r="G25" s="3">
        <f t="shared" si="0"/>
        <v>2490</v>
      </c>
      <c r="H25" s="3" t="s">
        <v>70</v>
      </c>
      <c r="I25" s="3">
        <v>1</v>
      </c>
      <c r="J25" s="6">
        <v>69</v>
      </c>
      <c r="K25" s="3">
        <f t="shared" si="1"/>
        <v>69</v>
      </c>
      <c r="L25" s="3">
        <f t="shared" si="2"/>
        <v>2559</v>
      </c>
    </row>
    <row r="26" ht="18" customHeight="1" spans="1:12">
      <c r="A26" s="3">
        <v>24</v>
      </c>
      <c r="B26" s="3" t="s">
        <v>71</v>
      </c>
      <c r="C26" s="4">
        <v>812</v>
      </c>
      <c r="D26" s="4">
        <v>825</v>
      </c>
      <c r="E26" s="4">
        <v>825</v>
      </c>
      <c r="F26" s="4">
        <v>3</v>
      </c>
      <c r="G26" s="3">
        <f t="shared" si="0"/>
        <v>2475</v>
      </c>
      <c r="H26" s="3" t="s">
        <v>72</v>
      </c>
      <c r="I26" s="3">
        <v>0</v>
      </c>
      <c r="J26" s="6">
        <v>72</v>
      </c>
      <c r="K26" s="3">
        <f t="shared" si="1"/>
        <v>0</v>
      </c>
      <c r="L26" s="3">
        <f t="shared" si="2"/>
        <v>2475</v>
      </c>
    </row>
    <row r="27" ht="18" customHeight="1" spans="1:12">
      <c r="A27" s="3">
        <v>25</v>
      </c>
      <c r="B27" s="3" t="s">
        <v>73</v>
      </c>
      <c r="C27" s="4">
        <v>435</v>
      </c>
      <c r="D27" s="4">
        <v>470</v>
      </c>
      <c r="E27" s="4">
        <v>470</v>
      </c>
      <c r="F27" s="4">
        <v>3</v>
      </c>
      <c r="G27" s="3">
        <f t="shared" si="0"/>
        <v>1410</v>
      </c>
      <c r="H27" s="3" t="s">
        <v>74</v>
      </c>
      <c r="I27" s="3">
        <v>2</v>
      </c>
      <c r="J27" s="6">
        <v>75</v>
      </c>
      <c r="K27" s="3">
        <f t="shared" si="1"/>
        <v>150</v>
      </c>
      <c r="L27" s="3">
        <f t="shared" si="2"/>
        <v>1560</v>
      </c>
    </row>
    <row r="28" ht="18" customHeight="1" spans="1:12">
      <c r="A28" s="3">
        <v>26</v>
      </c>
      <c r="B28" s="3" t="s">
        <v>75</v>
      </c>
      <c r="C28" s="4">
        <v>709</v>
      </c>
      <c r="D28" s="4">
        <v>718</v>
      </c>
      <c r="E28" s="4">
        <v>718</v>
      </c>
      <c r="F28" s="4">
        <v>3</v>
      </c>
      <c r="G28" s="3">
        <f t="shared" si="0"/>
        <v>2154</v>
      </c>
      <c r="H28" s="3" t="s">
        <v>76</v>
      </c>
      <c r="I28" s="3">
        <v>1</v>
      </c>
      <c r="J28" s="6">
        <v>78</v>
      </c>
      <c r="K28" s="3">
        <f t="shared" si="1"/>
        <v>78</v>
      </c>
      <c r="L28" s="3">
        <f t="shared" si="2"/>
        <v>2232</v>
      </c>
    </row>
    <row r="29" ht="18" customHeight="1" spans="1:12">
      <c r="A29" s="3">
        <v>27</v>
      </c>
      <c r="B29" s="3" t="s">
        <v>77</v>
      </c>
      <c r="C29" s="4">
        <v>730</v>
      </c>
      <c r="D29" s="4">
        <v>747</v>
      </c>
      <c r="E29" s="4">
        <v>747</v>
      </c>
      <c r="F29" s="4">
        <v>3</v>
      </c>
      <c r="G29" s="3">
        <f t="shared" si="0"/>
        <v>2241</v>
      </c>
      <c r="H29" s="3" t="s">
        <v>78</v>
      </c>
      <c r="I29" s="3">
        <v>0</v>
      </c>
      <c r="J29" s="6">
        <v>81</v>
      </c>
      <c r="K29" s="3">
        <f t="shared" si="1"/>
        <v>0</v>
      </c>
      <c r="L29" s="3">
        <f t="shared" si="2"/>
        <v>2241</v>
      </c>
    </row>
    <row r="30" ht="18" customHeight="1" spans="1:12">
      <c r="A30" s="3">
        <v>28</v>
      </c>
      <c r="B30" s="3" t="s">
        <v>79</v>
      </c>
      <c r="C30" s="4">
        <v>318</v>
      </c>
      <c r="D30" s="4">
        <v>337</v>
      </c>
      <c r="E30" s="4">
        <v>337</v>
      </c>
      <c r="F30" s="4">
        <v>3</v>
      </c>
      <c r="G30" s="3">
        <f t="shared" si="0"/>
        <v>1011</v>
      </c>
      <c r="H30" s="3" t="s">
        <v>80</v>
      </c>
      <c r="I30" s="3">
        <v>1</v>
      </c>
      <c r="J30" s="6">
        <v>84</v>
      </c>
      <c r="K30" s="3">
        <f t="shared" si="1"/>
        <v>84</v>
      </c>
      <c r="L30" s="3">
        <f t="shared" si="2"/>
        <v>1095</v>
      </c>
    </row>
    <row r="31" ht="18" customHeight="1" spans="1:12">
      <c r="A31" s="3">
        <v>29</v>
      </c>
      <c r="B31" s="3" t="s">
        <v>81</v>
      </c>
      <c r="C31" s="4">
        <v>227</v>
      </c>
      <c r="D31" s="4">
        <v>210</v>
      </c>
      <c r="E31" s="4">
        <v>210</v>
      </c>
      <c r="F31" s="4">
        <v>3</v>
      </c>
      <c r="G31" s="3">
        <f t="shared" si="0"/>
        <v>630</v>
      </c>
      <c r="H31" s="3" t="s">
        <v>82</v>
      </c>
      <c r="I31" s="3">
        <v>3</v>
      </c>
      <c r="J31" s="6">
        <v>87</v>
      </c>
      <c r="K31" s="3">
        <f t="shared" si="1"/>
        <v>261</v>
      </c>
      <c r="L31" s="3">
        <f t="shared" si="2"/>
        <v>891</v>
      </c>
    </row>
    <row r="32" ht="18" customHeight="1" spans="1:12">
      <c r="A32" s="3">
        <v>30</v>
      </c>
      <c r="B32" s="3" t="s">
        <v>83</v>
      </c>
      <c r="C32" s="4">
        <v>217</v>
      </c>
      <c r="D32" s="4">
        <v>220</v>
      </c>
      <c r="E32" s="4">
        <v>220</v>
      </c>
      <c r="F32" s="4">
        <v>3</v>
      </c>
      <c r="G32" s="3">
        <f t="shared" si="0"/>
        <v>660</v>
      </c>
      <c r="H32" s="3" t="s">
        <v>84</v>
      </c>
      <c r="I32" s="3">
        <v>0</v>
      </c>
      <c r="J32" s="6">
        <v>90</v>
      </c>
      <c r="K32" s="3">
        <f t="shared" si="1"/>
        <v>0</v>
      </c>
      <c r="L32" s="3">
        <f t="shared" si="2"/>
        <v>660</v>
      </c>
    </row>
    <row r="33" ht="18" customHeight="1" spans="1:12">
      <c r="A33" s="4">
        <v>31</v>
      </c>
      <c r="B33" s="3" t="s">
        <v>85</v>
      </c>
      <c r="C33" s="4">
        <v>214</v>
      </c>
      <c r="D33" s="4">
        <v>213</v>
      </c>
      <c r="E33" s="4">
        <v>213</v>
      </c>
      <c r="F33" s="4">
        <v>3</v>
      </c>
      <c r="G33" s="3">
        <f t="shared" si="0"/>
        <v>639</v>
      </c>
      <c r="H33" s="3" t="s">
        <v>86</v>
      </c>
      <c r="I33" s="3">
        <v>13</v>
      </c>
      <c r="J33" s="3">
        <v>93</v>
      </c>
      <c r="K33" s="3">
        <f t="shared" si="1"/>
        <v>1209</v>
      </c>
      <c r="L33" s="3">
        <f t="shared" si="2"/>
        <v>1848</v>
      </c>
    </row>
    <row r="34" ht="18" customHeight="1" spans="1:12">
      <c r="A34" s="3" t="s">
        <v>87</v>
      </c>
      <c r="B34" s="5"/>
      <c r="C34" s="4">
        <f>SUM(C3:C33)</f>
        <v>19942</v>
      </c>
      <c r="D34" s="4">
        <f>SUM(D3:D33)</f>
        <v>20122</v>
      </c>
      <c r="E34" s="4">
        <f>SUM(E3:E33)</f>
        <v>20122</v>
      </c>
      <c r="F34" s="4">
        <v>3</v>
      </c>
      <c r="G34" s="3">
        <f t="shared" si="0"/>
        <v>60366</v>
      </c>
      <c r="H34" s="4"/>
      <c r="I34" s="4"/>
      <c r="J34" s="5"/>
      <c r="K34" s="3">
        <f>SUM(K3:K33)</f>
        <v>13155</v>
      </c>
      <c r="L34" s="3">
        <f>SUM(L3:L33)</f>
        <v>73521</v>
      </c>
    </row>
  </sheetData>
  <mergeCells count="3">
    <mergeCell ref="A1:L1"/>
    <mergeCell ref="H2:J2"/>
    <mergeCell ref="H34:J34"/>
  </mergeCells>
  <pageMargins left="0.7" right="0.7" top="0.75" bottom="0.75" header="0.3" footer="0.3"/>
  <pageSetup paperSize="3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selection activeCell="A3" sqref="$A3:$XFD31"/>
    </sheetView>
  </sheetViews>
  <sheetFormatPr defaultColWidth="9" defaultRowHeight="16.8"/>
  <cols>
    <col min="1" max="1" width="10.5" customWidth="1"/>
    <col min="2" max="2" width="16.75" customWidth="1"/>
    <col min="3" max="3" width="16.25" customWidth="1"/>
    <col min="4" max="4" width="17.25" customWidth="1"/>
    <col min="5" max="5" width="16.25" customWidth="1"/>
    <col min="6" max="6" width="19.625" customWidth="1"/>
    <col min="7" max="7" width="17.375" customWidth="1"/>
    <col min="11" max="11" width="24" customWidth="1"/>
    <col min="12" max="12" width="26" customWidth="1"/>
  </cols>
  <sheetData>
    <row r="1" ht="44" customHeight="1" spans="1:12">
      <c r="A1" s="1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8"/>
    </row>
    <row r="2" ht="36" customHeight="1" spans="1:12">
      <c r="A2" s="3" t="s">
        <v>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6" t="s">
        <v>21</v>
      </c>
      <c r="H2" s="7" t="s">
        <v>22</v>
      </c>
      <c r="I2" s="3"/>
      <c r="J2" s="3"/>
      <c r="K2" s="6" t="s">
        <v>23</v>
      </c>
      <c r="L2" s="3" t="s">
        <v>24</v>
      </c>
    </row>
    <row r="3" ht="18" customHeight="1" spans="1:12">
      <c r="A3" s="3">
        <v>1</v>
      </c>
      <c r="B3" s="3" t="s">
        <v>89</v>
      </c>
      <c r="C3" s="3">
        <v>235</v>
      </c>
      <c r="D3" s="3">
        <v>231</v>
      </c>
      <c r="E3" s="3">
        <v>231</v>
      </c>
      <c r="F3" s="3">
        <v>3</v>
      </c>
      <c r="G3" s="3">
        <f t="shared" ref="G3:G34" si="0">E3*F3</f>
        <v>693</v>
      </c>
      <c r="H3" s="3" t="s">
        <v>26</v>
      </c>
      <c r="I3" s="3">
        <v>1346</v>
      </c>
      <c r="J3" s="6">
        <v>3</v>
      </c>
      <c r="K3" s="3">
        <f t="shared" ref="K3:K33" si="1">I3*J3</f>
        <v>4038</v>
      </c>
      <c r="L3" s="3">
        <f t="shared" ref="L3:L33" si="2">G3+K3</f>
        <v>4731</v>
      </c>
    </row>
    <row r="4" ht="18" customHeight="1" spans="1:12">
      <c r="A4" s="3">
        <v>2</v>
      </c>
      <c r="B4" s="3" t="s">
        <v>90</v>
      </c>
      <c r="C4" s="3">
        <v>256</v>
      </c>
      <c r="D4" s="3">
        <v>270</v>
      </c>
      <c r="E4" s="3">
        <v>270</v>
      </c>
      <c r="F4" s="4">
        <v>3</v>
      </c>
      <c r="G4" s="3">
        <f t="shared" si="0"/>
        <v>810</v>
      </c>
      <c r="H4" s="3" t="s">
        <v>28</v>
      </c>
      <c r="I4" s="3">
        <v>249</v>
      </c>
      <c r="J4" s="6">
        <v>6</v>
      </c>
      <c r="K4" s="3">
        <f t="shared" si="1"/>
        <v>1494</v>
      </c>
      <c r="L4" s="3">
        <f t="shared" si="2"/>
        <v>2304</v>
      </c>
    </row>
    <row r="5" ht="18" customHeight="1" spans="1:12">
      <c r="A5" s="3">
        <v>3</v>
      </c>
      <c r="B5" s="3" t="s">
        <v>91</v>
      </c>
      <c r="C5" s="3">
        <v>311</v>
      </c>
      <c r="D5" s="3">
        <v>304</v>
      </c>
      <c r="E5" s="3">
        <v>304</v>
      </c>
      <c r="F5" s="4">
        <v>3</v>
      </c>
      <c r="G5" s="3">
        <f t="shared" si="0"/>
        <v>912</v>
      </c>
      <c r="H5" s="3" t="s">
        <v>30</v>
      </c>
      <c r="I5" s="3">
        <v>110</v>
      </c>
      <c r="J5" s="6">
        <v>9</v>
      </c>
      <c r="K5" s="3">
        <f t="shared" si="1"/>
        <v>990</v>
      </c>
      <c r="L5" s="3">
        <f t="shared" si="2"/>
        <v>1902</v>
      </c>
    </row>
    <row r="6" ht="18" customHeight="1" spans="1:12">
      <c r="A6" s="3">
        <v>4</v>
      </c>
      <c r="B6" s="3" t="s">
        <v>92</v>
      </c>
      <c r="C6" s="3">
        <v>368</v>
      </c>
      <c r="D6" s="3">
        <v>364</v>
      </c>
      <c r="E6" s="3">
        <v>364</v>
      </c>
      <c r="F6" s="4">
        <v>3</v>
      </c>
      <c r="G6" s="3">
        <f t="shared" si="0"/>
        <v>1092</v>
      </c>
      <c r="H6" s="3" t="s">
        <v>32</v>
      </c>
      <c r="I6" s="3">
        <v>74</v>
      </c>
      <c r="J6" s="6">
        <v>12</v>
      </c>
      <c r="K6" s="3">
        <f t="shared" si="1"/>
        <v>888</v>
      </c>
      <c r="L6" s="3">
        <f t="shared" si="2"/>
        <v>1980</v>
      </c>
    </row>
    <row r="7" ht="18" customHeight="1" spans="1:12">
      <c r="A7" s="3">
        <v>5</v>
      </c>
      <c r="B7" s="3" t="s">
        <v>93</v>
      </c>
      <c r="C7" s="3">
        <v>763</v>
      </c>
      <c r="D7" s="3">
        <v>718</v>
      </c>
      <c r="E7" s="3">
        <v>718</v>
      </c>
      <c r="F7" s="4">
        <v>3</v>
      </c>
      <c r="G7" s="3">
        <f t="shared" si="0"/>
        <v>2154</v>
      </c>
      <c r="H7" s="3" t="s">
        <v>34</v>
      </c>
      <c r="I7" s="3">
        <v>33</v>
      </c>
      <c r="J7" s="6">
        <v>15</v>
      </c>
      <c r="K7" s="3">
        <f t="shared" si="1"/>
        <v>495</v>
      </c>
      <c r="L7" s="3">
        <f t="shared" si="2"/>
        <v>2649</v>
      </c>
    </row>
    <row r="8" ht="18" customHeight="1" spans="1:12">
      <c r="A8" s="3">
        <v>6</v>
      </c>
      <c r="B8" s="3" t="s">
        <v>94</v>
      </c>
      <c r="C8" s="4">
        <v>780</v>
      </c>
      <c r="D8" s="4">
        <v>770</v>
      </c>
      <c r="E8" s="4">
        <v>770</v>
      </c>
      <c r="F8" s="4">
        <v>3</v>
      </c>
      <c r="G8" s="3">
        <f t="shared" si="0"/>
        <v>2310</v>
      </c>
      <c r="H8" s="3" t="s">
        <v>36</v>
      </c>
      <c r="I8" s="3">
        <v>25</v>
      </c>
      <c r="J8" s="6">
        <v>18</v>
      </c>
      <c r="K8" s="3">
        <f t="shared" si="1"/>
        <v>450</v>
      </c>
      <c r="L8" s="3">
        <f t="shared" si="2"/>
        <v>2760</v>
      </c>
    </row>
    <row r="9" ht="18" customHeight="1" spans="1:12">
      <c r="A9" s="3">
        <v>7</v>
      </c>
      <c r="B9" s="3" t="s">
        <v>95</v>
      </c>
      <c r="C9" s="4">
        <v>793</v>
      </c>
      <c r="D9" s="4">
        <v>785</v>
      </c>
      <c r="E9" s="4">
        <v>785</v>
      </c>
      <c r="F9" s="4">
        <v>3</v>
      </c>
      <c r="G9" s="3">
        <f t="shared" si="0"/>
        <v>2355</v>
      </c>
      <c r="H9" s="3" t="s">
        <v>38</v>
      </c>
      <c r="I9" s="3">
        <v>21</v>
      </c>
      <c r="J9" s="6">
        <v>21</v>
      </c>
      <c r="K9" s="3">
        <f t="shared" si="1"/>
        <v>441</v>
      </c>
      <c r="L9" s="3">
        <f t="shared" si="2"/>
        <v>2796</v>
      </c>
    </row>
    <row r="10" ht="18" customHeight="1" spans="1:12">
      <c r="A10" s="3">
        <v>8</v>
      </c>
      <c r="B10" s="3" t="s">
        <v>96</v>
      </c>
      <c r="C10" s="4">
        <v>738</v>
      </c>
      <c r="D10" s="4">
        <v>780</v>
      </c>
      <c r="E10" s="4">
        <v>780</v>
      </c>
      <c r="F10" s="4">
        <v>3</v>
      </c>
      <c r="G10" s="3">
        <f t="shared" si="0"/>
        <v>2340</v>
      </c>
      <c r="H10" s="3" t="s">
        <v>40</v>
      </c>
      <c r="I10" s="3">
        <v>13</v>
      </c>
      <c r="J10" s="6">
        <v>24</v>
      </c>
      <c r="K10" s="3">
        <f t="shared" si="1"/>
        <v>312</v>
      </c>
      <c r="L10" s="3">
        <f t="shared" si="2"/>
        <v>2652</v>
      </c>
    </row>
    <row r="11" ht="18" customHeight="1" spans="1:12">
      <c r="A11" s="3">
        <v>9</v>
      </c>
      <c r="B11" s="3" t="s">
        <v>97</v>
      </c>
      <c r="C11" s="4">
        <v>404</v>
      </c>
      <c r="D11" s="4">
        <v>401</v>
      </c>
      <c r="E11" s="4">
        <v>401</v>
      </c>
      <c r="F11" s="4">
        <v>3</v>
      </c>
      <c r="G11" s="3">
        <f t="shared" si="0"/>
        <v>1203</v>
      </c>
      <c r="H11" s="3" t="s">
        <v>42</v>
      </c>
      <c r="I11" s="3">
        <v>13</v>
      </c>
      <c r="J11" s="6">
        <v>27</v>
      </c>
      <c r="K11" s="3">
        <f t="shared" si="1"/>
        <v>351</v>
      </c>
      <c r="L11" s="3">
        <f t="shared" si="2"/>
        <v>1554</v>
      </c>
    </row>
    <row r="12" ht="18" customHeight="1" spans="1:12">
      <c r="A12" s="3">
        <v>10</v>
      </c>
      <c r="B12" s="3" t="s">
        <v>98</v>
      </c>
      <c r="C12" s="4">
        <v>821</v>
      </c>
      <c r="D12" s="4">
        <v>813</v>
      </c>
      <c r="E12" s="4">
        <v>813</v>
      </c>
      <c r="F12" s="4">
        <v>3</v>
      </c>
      <c r="G12" s="3">
        <f t="shared" si="0"/>
        <v>2439</v>
      </c>
      <c r="H12" s="3" t="s">
        <v>44</v>
      </c>
      <c r="I12" s="3">
        <v>11</v>
      </c>
      <c r="J12" s="6">
        <v>30</v>
      </c>
      <c r="K12" s="3">
        <f t="shared" si="1"/>
        <v>330</v>
      </c>
      <c r="L12" s="3">
        <f t="shared" si="2"/>
        <v>2769</v>
      </c>
    </row>
    <row r="13" ht="18" customHeight="1" spans="1:12">
      <c r="A13" s="3">
        <v>11</v>
      </c>
      <c r="B13" s="3" t="s">
        <v>99</v>
      </c>
      <c r="C13" s="4">
        <v>830</v>
      </c>
      <c r="D13" s="4">
        <v>829</v>
      </c>
      <c r="E13" s="4">
        <v>829</v>
      </c>
      <c r="F13" s="4">
        <v>3</v>
      </c>
      <c r="G13" s="3">
        <f t="shared" si="0"/>
        <v>2487</v>
      </c>
      <c r="H13" s="3" t="s">
        <v>46</v>
      </c>
      <c r="I13" s="3">
        <v>7</v>
      </c>
      <c r="J13" s="6">
        <v>33</v>
      </c>
      <c r="K13" s="3">
        <f t="shared" si="1"/>
        <v>231</v>
      </c>
      <c r="L13" s="3">
        <f t="shared" si="2"/>
        <v>2718</v>
      </c>
    </row>
    <row r="14" ht="18" customHeight="1" spans="1:12">
      <c r="A14" s="3">
        <v>12</v>
      </c>
      <c r="B14" s="3" t="s">
        <v>100</v>
      </c>
      <c r="C14" s="4">
        <v>822</v>
      </c>
      <c r="D14" s="4">
        <v>843</v>
      </c>
      <c r="E14" s="4">
        <v>843</v>
      </c>
      <c r="F14" s="4">
        <v>3</v>
      </c>
      <c r="G14" s="3">
        <f t="shared" si="0"/>
        <v>2529</v>
      </c>
      <c r="H14" s="3" t="s">
        <v>48</v>
      </c>
      <c r="I14" s="3">
        <v>5</v>
      </c>
      <c r="J14" s="6">
        <v>36</v>
      </c>
      <c r="K14" s="3">
        <f t="shared" si="1"/>
        <v>180</v>
      </c>
      <c r="L14" s="3">
        <f t="shared" si="2"/>
        <v>2709</v>
      </c>
    </row>
    <row r="15" ht="18" customHeight="1" spans="1:12">
      <c r="A15" s="3">
        <v>13</v>
      </c>
      <c r="B15" s="3" t="s">
        <v>101</v>
      </c>
      <c r="C15" s="4">
        <v>831</v>
      </c>
      <c r="D15" s="4">
        <v>814</v>
      </c>
      <c r="E15" s="4">
        <v>814</v>
      </c>
      <c r="F15" s="4">
        <v>3</v>
      </c>
      <c r="G15" s="3">
        <f t="shared" si="0"/>
        <v>2442</v>
      </c>
      <c r="H15" s="3" t="s">
        <v>50</v>
      </c>
      <c r="I15" s="3">
        <v>2</v>
      </c>
      <c r="J15" s="6">
        <v>39</v>
      </c>
      <c r="K15" s="3">
        <f t="shared" si="1"/>
        <v>78</v>
      </c>
      <c r="L15" s="3">
        <f t="shared" si="2"/>
        <v>2520</v>
      </c>
    </row>
    <row r="16" ht="18" customHeight="1" spans="1:12">
      <c r="A16" s="3">
        <v>14</v>
      </c>
      <c r="B16" s="3" t="s">
        <v>102</v>
      </c>
      <c r="C16" s="4">
        <v>803</v>
      </c>
      <c r="D16" s="4">
        <v>826</v>
      </c>
      <c r="E16" s="4">
        <v>826</v>
      </c>
      <c r="F16" s="4">
        <v>3</v>
      </c>
      <c r="G16" s="3">
        <f t="shared" si="0"/>
        <v>2478</v>
      </c>
      <c r="H16" s="3" t="s">
        <v>52</v>
      </c>
      <c r="I16" s="3">
        <v>5</v>
      </c>
      <c r="J16" s="6">
        <v>42</v>
      </c>
      <c r="K16" s="3">
        <f t="shared" si="1"/>
        <v>210</v>
      </c>
      <c r="L16" s="3">
        <f t="shared" si="2"/>
        <v>2688</v>
      </c>
    </row>
    <row r="17" ht="18" customHeight="1" spans="1:12">
      <c r="A17" s="3">
        <v>15</v>
      </c>
      <c r="B17" s="3" t="s">
        <v>103</v>
      </c>
      <c r="C17" s="4">
        <v>486</v>
      </c>
      <c r="D17" s="4">
        <v>511</v>
      </c>
      <c r="E17" s="4">
        <v>511</v>
      </c>
      <c r="F17" s="4">
        <v>3</v>
      </c>
      <c r="G17" s="3">
        <f t="shared" si="0"/>
        <v>1533</v>
      </c>
      <c r="H17" s="3" t="s">
        <v>54</v>
      </c>
      <c r="I17" s="3">
        <v>3</v>
      </c>
      <c r="J17" s="6">
        <v>45</v>
      </c>
      <c r="K17" s="3">
        <f t="shared" si="1"/>
        <v>135</v>
      </c>
      <c r="L17" s="3">
        <f t="shared" si="2"/>
        <v>1668</v>
      </c>
    </row>
    <row r="18" ht="18" customHeight="1" spans="1:12">
      <c r="A18" s="3">
        <v>16</v>
      </c>
      <c r="B18" s="3" t="s">
        <v>104</v>
      </c>
      <c r="C18" s="4">
        <v>434</v>
      </c>
      <c r="D18" s="4">
        <v>425</v>
      </c>
      <c r="E18" s="4">
        <v>425</v>
      </c>
      <c r="F18" s="4">
        <v>3</v>
      </c>
      <c r="G18" s="3">
        <f t="shared" si="0"/>
        <v>1275</v>
      </c>
      <c r="H18" s="3" t="s">
        <v>56</v>
      </c>
      <c r="I18" s="3">
        <v>2</v>
      </c>
      <c r="J18" s="6">
        <v>48</v>
      </c>
      <c r="K18" s="3">
        <f t="shared" si="1"/>
        <v>96</v>
      </c>
      <c r="L18" s="3">
        <f t="shared" si="2"/>
        <v>1371</v>
      </c>
    </row>
    <row r="19" ht="18" customHeight="1" spans="1:12">
      <c r="A19" s="3">
        <v>17</v>
      </c>
      <c r="B19" s="3" t="s">
        <v>105</v>
      </c>
      <c r="C19" s="4">
        <v>850</v>
      </c>
      <c r="D19" s="4">
        <v>833</v>
      </c>
      <c r="E19" s="4">
        <v>833</v>
      </c>
      <c r="F19" s="4">
        <v>3</v>
      </c>
      <c r="G19" s="3">
        <f t="shared" si="0"/>
        <v>2499</v>
      </c>
      <c r="H19" s="3" t="s">
        <v>58</v>
      </c>
      <c r="I19" s="3">
        <v>0</v>
      </c>
      <c r="J19" s="6">
        <v>51</v>
      </c>
      <c r="K19" s="3">
        <f t="shared" si="1"/>
        <v>0</v>
      </c>
      <c r="L19" s="3">
        <f t="shared" si="2"/>
        <v>2499</v>
      </c>
    </row>
    <row r="20" ht="18" customHeight="1" spans="1:12">
      <c r="A20" s="3">
        <v>18</v>
      </c>
      <c r="B20" s="3" t="s">
        <v>106</v>
      </c>
      <c r="C20" s="4">
        <v>835</v>
      </c>
      <c r="D20" s="4">
        <v>848</v>
      </c>
      <c r="E20" s="4">
        <v>848</v>
      </c>
      <c r="F20" s="4">
        <v>3</v>
      </c>
      <c r="G20" s="3">
        <f t="shared" si="0"/>
        <v>2544</v>
      </c>
      <c r="H20" s="3" t="s">
        <v>60</v>
      </c>
      <c r="I20" s="3">
        <v>0</v>
      </c>
      <c r="J20" s="6">
        <v>54</v>
      </c>
      <c r="K20" s="3">
        <f t="shared" si="1"/>
        <v>0</v>
      </c>
      <c r="L20" s="3">
        <f t="shared" si="2"/>
        <v>2544</v>
      </c>
    </row>
    <row r="21" ht="18" customHeight="1" spans="1:12">
      <c r="A21" s="3">
        <v>19</v>
      </c>
      <c r="B21" s="3" t="s">
        <v>107</v>
      </c>
      <c r="C21" s="4">
        <v>845</v>
      </c>
      <c r="D21" s="4">
        <v>842</v>
      </c>
      <c r="E21" s="4">
        <v>842</v>
      </c>
      <c r="F21" s="4">
        <v>3</v>
      </c>
      <c r="G21" s="3">
        <f t="shared" si="0"/>
        <v>2526</v>
      </c>
      <c r="H21" s="3" t="s">
        <v>62</v>
      </c>
      <c r="I21" s="3">
        <v>0</v>
      </c>
      <c r="J21" s="6">
        <v>57</v>
      </c>
      <c r="K21" s="3">
        <f t="shared" si="1"/>
        <v>0</v>
      </c>
      <c r="L21" s="3">
        <f t="shared" si="2"/>
        <v>2526</v>
      </c>
    </row>
    <row r="22" ht="18" customHeight="1" spans="1:12">
      <c r="A22" s="3">
        <v>20</v>
      </c>
      <c r="B22" s="3" t="s">
        <v>108</v>
      </c>
      <c r="C22" s="4">
        <v>841</v>
      </c>
      <c r="D22" s="4">
        <v>863</v>
      </c>
      <c r="E22" s="4">
        <v>863</v>
      </c>
      <c r="F22" s="4">
        <v>3</v>
      </c>
      <c r="G22" s="3">
        <f t="shared" si="0"/>
        <v>2589</v>
      </c>
      <c r="H22" s="3" t="s">
        <v>64</v>
      </c>
      <c r="I22" s="3">
        <v>1</v>
      </c>
      <c r="J22" s="6">
        <v>60</v>
      </c>
      <c r="K22" s="3">
        <f t="shared" si="1"/>
        <v>60</v>
      </c>
      <c r="L22" s="3">
        <f t="shared" si="2"/>
        <v>2649</v>
      </c>
    </row>
    <row r="23" ht="18" customHeight="1" spans="1:12">
      <c r="A23" s="3">
        <v>21</v>
      </c>
      <c r="B23" s="3" t="s">
        <v>109</v>
      </c>
      <c r="C23" s="4">
        <v>846</v>
      </c>
      <c r="D23" s="4">
        <v>854</v>
      </c>
      <c r="E23" s="4">
        <v>854</v>
      </c>
      <c r="F23" s="4">
        <v>3</v>
      </c>
      <c r="G23" s="3">
        <f t="shared" si="0"/>
        <v>2562</v>
      </c>
      <c r="H23" s="3" t="s">
        <v>66</v>
      </c>
      <c r="I23" s="3">
        <v>0</v>
      </c>
      <c r="J23" s="6">
        <v>63</v>
      </c>
      <c r="K23" s="3">
        <f t="shared" si="1"/>
        <v>0</v>
      </c>
      <c r="L23" s="3">
        <f t="shared" si="2"/>
        <v>2562</v>
      </c>
    </row>
    <row r="24" ht="18" customHeight="1" spans="1:12">
      <c r="A24" s="3">
        <v>22</v>
      </c>
      <c r="B24" s="3" t="s">
        <v>110</v>
      </c>
      <c r="C24" s="4">
        <v>512</v>
      </c>
      <c r="D24" s="4">
        <v>538</v>
      </c>
      <c r="E24" s="4">
        <v>538</v>
      </c>
      <c r="F24" s="4">
        <v>3</v>
      </c>
      <c r="G24" s="3">
        <f t="shared" si="0"/>
        <v>1614</v>
      </c>
      <c r="H24" s="3" t="s">
        <v>68</v>
      </c>
      <c r="I24" s="3">
        <v>0</v>
      </c>
      <c r="J24" s="6">
        <v>66</v>
      </c>
      <c r="K24" s="3">
        <f t="shared" si="1"/>
        <v>0</v>
      </c>
      <c r="L24" s="3">
        <f t="shared" si="2"/>
        <v>1614</v>
      </c>
    </row>
    <row r="25" ht="18" customHeight="1" spans="1:12">
      <c r="A25" s="3">
        <v>23</v>
      </c>
      <c r="B25" s="3" t="s">
        <v>111</v>
      </c>
      <c r="C25" s="4">
        <v>447</v>
      </c>
      <c r="D25" s="4">
        <v>463</v>
      </c>
      <c r="E25" s="4">
        <v>463</v>
      </c>
      <c r="F25" s="4">
        <v>3</v>
      </c>
      <c r="G25" s="3">
        <f t="shared" si="0"/>
        <v>1389</v>
      </c>
      <c r="H25" s="3" t="s">
        <v>70</v>
      </c>
      <c r="I25" s="3">
        <v>0</v>
      </c>
      <c r="J25" s="6">
        <v>69</v>
      </c>
      <c r="K25" s="3">
        <f t="shared" si="1"/>
        <v>0</v>
      </c>
      <c r="L25" s="3">
        <f t="shared" si="2"/>
        <v>1389</v>
      </c>
    </row>
    <row r="26" ht="18" customHeight="1" spans="1:12">
      <c r="A26" s="3">
        <v>24</v>
      </c>
      <c r="B26" s="3" t="s">
        <v>112</v>
      </c>
      <c r="C26" s="4">
        <v>875</v>
      </c>
      <c r="D26" s="4">
        <v>814</v>
      </c>
      <c r="E26" s="4">
        <v>814</v>
      </c>
      <c r="F26" s="4">
        <v>3</v>
      </c>
      <c r="G26" s="3">
        <f t="shared" si="0"/>
        <v>2442</v>
      </c>
      <c r="H26" s="3" t="s">
        <v>72</v>
      </c>
      <c r="I26" s="3">
        <v>1</v>
      </c>
      <c r="J26" s="6">
        <v>72</v>
      </c>
      <c r="K26" s="3">
        <f t="shared" si="1"/>
        <v>72</v>
      </c>
      <c r="L26" s="3">
        <f t="shared" si="2"/>
        <v>2514</v>
      </c>
    </row>
    <row r="27" ht="18" customHeight="1" spans="1:12">
      <c r="A27" s="3">
        <v>25</v>
      </c>
      <c r="B27" s="3" t="s">
        <v>113</v>
      </c>
      <c r="C27" s="4">
        <v>830</v>
      </c>
      <c r="D27" s="4">
        <v>849</v>
      </c>
      <c r="E27" s="4">
        <v>849</v>
      </c>
      <c r="F27" s="4">
        <v>3</v>
      </c>
      <c r="G27" s="3">
        <f t="shared" si="0"/>
        <v>2547</v>
      </c>
      <c r="H27" s="3" t="s">
        <v>74</v>
      </c>
      <c r="I27" s="3">
        <v>0</v>
      </c>
      <c r="J27" s="6">
        <v>75</v>
      </c>
      <c r="K27" s="3">
        <f t="shared" si="1"/>
        <v>0</v>
      </c>
      <c r="L27" s="3">
        <f t="shared" si="2"/>
        <v>2547</v>
      </c>
    </row>
    <row r="28" ht="18" customHeight="1" spans="1:12">
      <c r="A28" s="3">
        <v>26</v>
      </c>
      <c r="B28" s="3" t="s">
        <v>114</v>
      </c>
      <c r="C28" s="4">
        <v>825</v>
      </c>
      <c r="D28" s="4">
        <v>819</v>
      </c>
      <c r="E28" s="4">
        <v>819</v>
      </c>
      <c r="F28" s="4">
        <v>3</v>
      </c>
      <c r="G28" s="3">
        <f t="shared" si="0"/>
        <v>2457</v>
      </c>
      <c r="H28" s="3" t="s">
        <v>76</v>
      </c>
      <c r="I28" s="3">
        <v>0</v>
      </c>
      <c r="J28" s="6">
        <v>78</v>
      </c>
      <c r="K28" s="3">
        <f t="shared" si="1"/>
        <v>0</v>
      </c>
      <c r="L28" s="3">
        <f t="shared" si="2"/>
        <v>2457</v>
      </c>
    </row>
    <row r="29" ht="18" customHeight="1" spans="1:12">
      <c r="A29" s="3">
        <v>27</v>
      </c>
      <c r="B29" s="3" t="s">
        <v>115</v>
      </c>
      <c r="C29" s="4">
        <v>806</v>
      </c>
      <c r="D29" s="4">
        <v>802</v>
      </c>
      <c r="E29" s="4">
        <v>802</v>
      </c>
      <c r="F29" s="4">
        <v>3</v>
      </c>
      <c r="G29" s="3">
        <f t="shared" si="0"/>
        <v>2406</v>
      </c>
      <c r="H29" s="3" t="s">
        <v>78</v>
      </c>
      <c r="I29" s="3">
        <v>2</v>
      </c>
      <c r="J29" s="6">
        <v>81</v>
      </c>
      <c r="K29" s="3">
        <f t="shared" si="1"/>
        <v>162</v>
      </c>
      <c r="L29" s="3">
        <f t="shared" si="2"/>
        <v>2568</v>
      </c>
    </row>
    <row r="30" ht="18" customHeight="1" spans="1:12">
      <c r="A30" s="3">
        <v>28</v>
      </c>
      <c r="B30" s="3" t="s">
        <v>116</v>
      </c>
      <c r="C30" s="4">
        <v>817</v>
      </c>
      <c r="D30" s="4">
        <v>855</v>
      </c>
      <c r="E30" s="4">
        <v>855</v>
      </c>
      <c r="F30" s="4">
        <v>3</v>
      </c>
      <c r="G30" s="3">
        <f t="shared" si="0"/>
        <v>2565</v>
      </c>
      <c r="H30" s="3" t="s">
        <v>80</v>
      </c>
      <c r="I30" s="3">
        <v>1</v>
      </c>
      <c r="J30" s="6">
        <v>84</v>
      </c>
      <c r="K30" s="3">
        <f t="shared" si="1"/>
        <v>84</v>
      </c>
      <c r="L30" s="3">
        <f t="shared" si="2"/>
        <v>2649</v>
      </c>
    </row>
    <row r="31" ht="18" customHeight="1" spans="1:12">
      <c r="A31" s="3" t="s">
        <v>87</v>
      </c>
      <c r="B31" s="5"/>
      <c r="C31" s="4">
        <f>SUM(C3:C30)</f>
        <v>19004</v>
      </c>
      <c r="D31" s="4">
        <f>SUM(D3:D30)</f>
        <v>19064</v>
      </c>
      <c r="E31" s="4">
        <f>SUM(E3:E30)</f>
        <v>19064</v>
      </c>
      <c r="F31" s="4">
        <v>3</v>
      </c>
      <c r="G31" s="3">
        <f t="shared" si="0"/>
        <v>57192</v>
      </c>
      <c r="H31" s="4"/>
      <c r="I31" s="4"/>
      <c r="J31" s="5"/>
      <c r="K31" s="3">
        <f>SUM(K3:K30)</f>
        <v>11097</v>
      </c>
      <c r="L31" s="3">
        <f>SUM(L3:L30)</f>
        <v>68289</v>
      </c>
    </row>
  </sheetData>
  <mergeCells count="3">
    <mergeCell ref="A1:L1"/>
    <mergeCell ref="H2:J2"/>
    <mergeCell ref="H31:J31"/>
  </mergeCells>
  <pageMargins left="0.7" right="0.7" top="0.75" bottom="0.75" header="0.3" footer="0.3"/>
  <pageSetup paperSize="3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workbookViewId="0">
      <selection activeCell="E15" sqref="E15"/>
    </sheetView>
  </sheetViews>
  <sheetFormatPr defaultColWidth="9" defaultRowHeight="16.8"/>
  <cols>
    <col min="2" max="2" width="16" customWidth="1"/>
    <col min="3" max="3" width="17.5" customWidth="1"/>
    <col min="4" max="4" width="17.875" customWidth="1"/>
    <col min="5" max="5" width="16.75" customWidth="1"/>
    <col min="6" max="6" width="19.75" customWidth="1"/>
    <col min="7" max="7" width="18.625" customWidth="1"/>
    <col min="11" max="11" width="23.625" customWidth="1"/>
    <col min="12" max="12" width="18.875" customWidth="1"/>
  </cols>
  <sheetData>
    <row r="1" ht="35" customHeight="1" spans="1:12">
      <c r="A1" s="1" t="s">
        <v>117</v>
      </c>
      <c r="B1" s="2"/>
      <c r="C1" s="2"/>
      <c r="D1" s="2"/>
      <c r="E1" s="2"/>
      <c r="F1" s="2"/>
      <c r="G1" s="2"/>
      <c r="H1" s="2"/>
      <c r="I1" s="2"/>
      <c r="J1" s="2"/>
      <c r="K1" s="2"/>
      <c r="L1" s="8"/>
    </row>
    <row r="2" ht="23" customHeight="1" spans="1:12">
      <c r="A2" s="3" t="s">
        <v>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6" t="s">
        <v>21</v>
      </c>
      <c r="H2" s="7" t="s">
        <v>22</v>
      </c>
      <c r="I2" s="3"/>
      <c r="J2" s="3"/>
      <c r="K2" s="6" t="s">
        <v>23</v>
      </c>
      <c r="L2" s="3" t="s">
        <v>24</v>
      </c>
    </row>
    <row r="3" ht="18" customHeight="1" spans="1:12">
      <c r="A3" s="3">
        <v>1</v>
      </c>
      <c r="B3" s="3" t="s">
        <v>118</v>
      </c>
      <c r="C3" s="3">
        <v>460</v>
      </c>
      <c r="D3" s="3">
        <v>486</v>
      </c>
      <c r="E3" s="3">
        <v>486</v>
      </c>
      <c r="F3" s="3">
        <v>3</v>
      </c>
      <c r="G3" s="3">
        <f t="shared" ref="G3:G34" si="0">E3*F3</f>
        <v>1458</v>
      </c>
      <c r="H3" s="3" t="s">
        <v>26</v>
      </c>
      <c r="I3" s="3">
        <v>1490</v>
      </c>
      <c r="J3" s="6">
        <v>3</v>
      </c>
      <c r="K3" s="3">
        <f t="shared" ref="K3:K33" si="1">I3*J3</f>
        <v>4470</v>
      </c>
      <c r="L3" s="3">
        <f t="shared" ref="L3:L33" si="2">G3+K3</f>
        <v>5928</v>
      </c>
    </row>
    <row r="4" ht="18" customHeight="1" spans="1:12">
      <c r="A4" s="3">
        <v>2</v>
      </c>
      <c r="B4" s="3" t="s">
        <v>119</v>
      </c>
      <c r="C4" s="3">
        <v>521</v>
      </c>
      <c r="D4" s="3">
        <v>511</v>
      </c>
      <c r="E4" s="3">
        <v>511</v>
      </c>
      <c r="F4" s="4">
        <v>3</v>
      </c>
      <c r="G4" s="3">
        <f t="shared" si="0"/>
        <v>1533</v>
      </c>
      <c r="H4" s="3" t="s">
        <v>28</v>
      </c>
      <c r="I4" s="3">
        <v>328</v>
      </c>
      <c r="J4" s="6">
        <v>6</v>
      </c>
      <c r="K4" s="3">
        <f t="shared" si="1"/>
        <v>1968</v>
      </c>
      <c r="L4" s="3">
        <f t="shared" si="2"/>
        <v>3501</v>
      </c>
    </row>
    <row r="5" ht="18" customHeight="1" spans="1:12">
      <c r="A5" s="3">
        <v>3</v>
      </c>
      <c r="B5" s="3" t="s">
        <v>120</v>
      </c>
      <c r="C5" s="3">
        <v>883</v>
      </c>
      <c r="D5" s="3">
        <v>842</v>
      </c>
      <c r="E5" s="3">
        <v>842</v>
      </c>
      <c r="F5" s="4">
        <v>3</v>
      </c>
      <c r="G5" s="3">
        <f t="shared" si="0"/>
        <v>2526</v>
      </c>
      <c r="H5" s="3" t="s">
        <v>30</v>
      </c>
      <c r="I5" s="3">
        <v>166</v>
      </c>
      <c r="J5" s="6">
        <v>9</v>
      </c>
      <c r="K5" s="3">
        <f t="shared" si="1"/>
        <v>1494</v>
      </c>
      <c r="L5" s="3">
        <f t="shared" si="2"/>
        <v>4020</v>
      </c>
    </row>
    <row r="6" ht="18" customHeight="1" spans="1:12">
      <c r="A6" s="3">
        <v>4</v>
      </c>
      <c r="B6" s="3" t="s">
        <v>121</v>
      </c>
      <c r="C6" s="3">
        <v>840</v>
      </c>
      <c r="D6" s="3">
        <v>861</v>
      </c>
      <c r="E6" s="3">
        <v>861</v>
      </c>
      <c r="F6" s="4">
        <v>3</v>
      </c>
      <c r="G6" s="3">
        <f t="shared" si="0"/>
        <v>2583</v>
      </c>
      <c r="H6" s="3" t="s">
        <v>32</v>
      </c>
      <c r="I6" s="3">
        <v>80</v>
      </c>
      <c r="J6" s="6">
        <v>12</v>
      </c>
      <c r="K6" s="3">
        <f t="shared" si="1"/>
        <v>960</v>
      </c>
      <c r="L6" s="3">
        <f t="shared" si="2"/>
        <v>3543</v>
      </c>
    </row>
    <row r="7" ht="18" customHeight="1" spans="1:12">
      <c r="A7" s="3">
        <v>5</v>
      </c>
      <c r="B7" s="3" t="s">
        <v>122</v>
      </c>
      <c r="C7" s="3">
        <v>853</v>
      </c>
      <c r="D7" s="3">
        <v>831</v>
      </c>
      <c r="E7" s="3">
        <v>831</v>
      </c>
      <c r="F7" s="4">
        <v>3</v>
      </c>
      <c r="G7" s="3">
        <f t="shared" si="0"/>
        <v>2493</v>
      </c>
      <c r="H7" s="3" t="s">
        <v>34</v>
      </c>
      <c r="I7" s="3">
        <v>49</v>
      </c>
      <c r="J7" s="6">
        <v>15</v>
      </c>
      <c r="K7" s="3">
        <f t="shared" si="1"/>
        <v>735</v>
      </c>
      <c r="L7" s="3">
        <f t="shared" si="2"/>
        <v>3228</v>
      </c>
    </row>
    <row r="8" ht="18" customHeight="1" spans="1:12">
      <c r="A8" s="3">
        <v>6</v>
      </c>
      <c r="B8" s="3" t="s">
        <v>123</v>
      </c>
      <c r="C8" s="4">
        <v>842</v>
      </c>
      <c r="D8" s="4">
        <v>853</v>
      </c>
      <c r="E8" s="4">
        <v>853</v>
      </c>
      <c r="F8" s="4">
        <v>3</v>
      </c>
      <c r="G8" s="3">
        <f t="shared" si="0"/>
        <v>2559</v>
      </c>
      <c r="H8" s="3" t="s">
        <v>36</v>
      </c>
      <c r="I8" s="3">
        <v>22</v>
      </c>
      <c r="J8" s="6">
        <v>18</v>
      </c>
      <c r="K8" s="3">
        <f t="shared" si="1"/>
        <v>396</v>
      </c>
      <c r="L8" s="3">
        <f t="shared" si="2"/>
        <v>2955</v>
      </c>
    </row>
    <row r="9" ht="18" customHeight="1" spans="1:12">
      <c r="A9" s="3">
        <v>7</v>
      </c>
      <c r="B9" s="3" t="s">
        <v>124</v>
      </c>
      <c r="C9" s="4">
        <v>833</v>
      </c>
      <c r="D9" s="4">
        <v>842</v>
      </c>
      <c r="E9" s="4">
        <v>842</v>
      </c>
      <c r="F9" s="4">
        <v>3</v>
      </c>
      <c r="G9" s="3">
        <f t="shared" si="0"/>
        <v>2526</v>
      </c>
      <c r="H9" s="3" t="s">
        <v>38</v>
      </c>
      <c r="I9" s="3">
        <v>17</v>
      </c>
      <c r="J9" s="6">
        <v>21</v>
      </c>
      <c r="K9" s="3">
        <f t="shared" si="1"/>
        <v>357</v>
      </c>
      <c r="L9" s="3">
        <f t="shared" si="2"/>
        <v>2883</v>
      </c>
    </row>
    <row r="10" ht="18" customHeight="1" spans="1:12">
      <c r="A10" s="3">
        <v>8</v>
      </c>
      <c r="B10" s="3" t="s">
        <v>125</v>
      </c>
      <c r="C10" s="4">
        <v>442</v>
      </c>
      <c r="D10" s="4">
        <v>484</v>
      </c>
      <c r="E10" s="4">
        <v>484</v>
      </c>
      <c r="F10" s="4">
        <v>3</v>
      </c>
      <c r="G10" s="3">
        <f t="shared" si="0"/>
        <v>1452</v>
      </c>
      <c r="H10" s="3" t="s">
        <v>40</v>
      </c>
      <c r="I10" s="3">
        <v>14</v>
      </c>
      <c r="J10" s="6">
        <v>24</v>
      </c>
      <c r="K10" s="3">
        <f t="shared" si="1"/>
        <v>336</v>
      </c>
      <c r="L10" s="3">
        <f t="shared" si="2"/>
        <v>1788</v>
      </c>
    </row>
    <row r="11" ht="18" customHeight="1" spans="1:12">
      <c r="A11" s="3">
        <v>9</v>
      </c>
      <c r="B11" s="3" t="s">
        <v>126</v>
      </c>
      <c r="C11" s="4">
        <v>427</v>
      </c>
      <c r="D11" s="4">
        <v>425</v>
      </c>
      <c r="E11" s="4">
        <v>425</v>
      </c>
      <c r="F11" s="4">
        <v>3</v>
      </c>
      <c r="G11" s="3">
        <f t="shared" si="0"/>
        <v>1275</v>
      </c>
      <c r="H11" s="3" t="s">
        <v>42</v>
      </c>
      <c r="I11" s="3">
        <v>9</v>
      </c>
      <c r="J11" s="6">
        <v>27</v>
      </c>
      <c r="K11" s="3">
        <f t="shared" si="1"/>
        <v>243</v>
      </c>
      <c r="L11" s="3">
        <f t="shared" si="2"/>
        <v>1518</v>
      </c>
    </row>
    <row r="12" ht="18" customHeight="1" spans="1:12">
      <c r="A12" s="3">
        <v>10</v>
      </c>
      <c r="B12" s="3" t="s">
        <v>127</v>
      </c>
      <c r="C12" s="4">
        <v>857</v>
      </c>
      <c r="D12" s="4">
        <v>817</v>
      </c>
      <c r="E12" s="4">
        <v>817</v>
      </c>
      <c r="F12" s="4">
        <v>3</v>
      </c>
      <c r="G12" s="3">
        <f t="shared" si="0"/>
        <v>2451</v>
      </c>
      <c r="H12" s="3" t="s">
        <v>44</v>
      </c>
      <c r="I12" s="3">
        <v>3</v>
      </c>
      <c r="J12" s="6">
        <v>30</v>
      </c>
      <c r="K12" s="3">
        <f t="shared" si="1"/>
        <v>90</v>
      </c>
      <c r="L12" s="3">
        <f t="shared" si="2"/>
        <v>2541</v>
      </c>
    </row>
    <row r="13" ht="18" customHeight="1" spans="1:12">
      <c r="A13" s="3">
        <v>11</v>
      </c>
      <c r="B13" s="3" t="s">
        <v>128</v>
      </c>
      <c r="C13" s="4">
        <v>846</v>
      </c>
      <c r="D13" s="4">
        <v>836</v>
      </c>
      <c r="E13" s="4">
        <v>836</v>
      </c>
      <c r="F13" s="4">
        <v>3</v>
      </c>
      <c r="G13" s="3">
        <f t="shared" si="0"/>
        <v>2508</v>
      </c>
      <c r="H13" s="3" t="s">
        <v>46</v>
      </c>
      <c r="I13" s="3">
        <v>8</v>
      </c>
      <c r="J13" s="6">
        <v>33</v>
      </c>
      <c r="K13" s="3">
        <f t="shared" si="1"/>
        <v>264</v>
      </c>
      <c r="L13" s="3">
        <f t="shared" si="2"/>
        <v>2772</v>
      </c>
    </row>
    <row r="14" ht="18" customHeight="1" spans="1:12">
      <c r="A14" s="3">
        <v>12</v>
      </c>
      <c r="B14" s="3" t="s">
        <v>129</v>
      </c>
      <c r="C14" s="4">
        <v>825</v>
      </c>
      <c r="D14" s="4">
        <v>831</v>
      </c>
      <c r="E14" s="4">
        <v>831</v>
      </c>
      <c r="F14" s="4">
        <v>3</v>
      </c>
      <c r="G14" s="3">
        <f t="shared" si="0"/>
        <v>2493</v>
      </c>
      <c r="H14" s="3" t="s">
        <v>48</v>
      </c>
      <c r="I14" s="3">
        <v>2</v>
      </c>
      <c r="J14" s="6">
        <v>36</v>
      </c>
      <c r="K14" s="3">
        <f t="shared" si="1"/>
        <v>72</v>
      </c>
      <c r="L14" s="3">
        <f t="shared" si="2"/>
        <v>2565</v>
      </c>
    </row>
    <row r="15" ht="18" customHeight="1" spans="1:12">
      <c r="A15" s="3">
        <v>13</v>
      </c>
      <c r="B15" s="3" t="s">
        <v>130</v>
      </c>
      <c r="C15" s="4">
        <v>829</v>
      </c>
      <c r="D15" s="4">
        <v>836</v>
      </c>
      <c r="E15" s="4">
        <v>836</v>
      </c>
      <c r="F15" s="4">
        <v>3</v>
      </c>
      <c r="G15" s="3">
        <f t="shared" si="0"/>
        <v>2508</v>
      </c>
      <c r="H15" s="3" t="s">
        <v>50</v>
      </c>
      <c r="I15" s="3">
        <v>8</v>
      </c>
      <c r="J15" s="6">
        <v>39</v>
      </c>
      <c r="K15" s="3">
        <f t="shared" si="1"/>
        <v>312</v>
      </c>
      <c r="L15" s="3">
        <f t="shared" si="2"/>
        <v>2820</v>
      </c>
    </row>
    <row r="16" ht="18" customHeight="1" spans="1:12">
      <c r="A16" s="3">
        <v>14</v>
      </c>
      <c r="B16" s="3" t="s">
        <v>131</v>
      </c>
      <c r="C16" s="4">
        <v>824</v>
      </c>
      <c r="D16" s="4">
        <v>849</v>
      </c>
      <c r="E16" s="4">
        <v>849</v>
      </c>
      <c r="F16" s="4">
        <v>3</v>
      </c>
      <c r="G16" s="3">
        <f t="shared" si="0"/>
        <v>2547</v>
      </c>
      <c r="H16" s="3" t="s">
        <v>52</v>
      </c>
      <c r="I16" s="3">
        <v>4</v>
      </c>
      <c r="J16" s="6">
        <v>42</v>
      </c>
      <c r="K16" s="3">
        <f t="shared" si="1"/>
        <v>168</v>
      </c>
      <c r="L16" s="3">
        <f t="shared" si="2"/>
        <v>2715</v>
      </c>
    </row>
    <row r="17" ht="18" customHeight="1" spans="1:12">
      <c r="A17" s="3">
        <v>15</v>
      </c>
      <c r="B17" s="3" t="s">
        <v>132</v>
      </c>
      <c r="C17" s="4">
        <v>451</v>
      </c>
      <c r="D17" s="4">
        <v>492</v>
      </c>
      <c r="E17" s="4">
        <v>492</v>
      </c>
      <c r="F17" s="4">
        <v>3</v>
      </c>
      <c r="G17" s="3">
        <f t="shared" si="0"/>
        <v>1476</v>
      </c>
      <c r="H17" s="3" t="s">
        <v>54</v>
      </c>
      <c r="I17" s="3">
        <v>3</v>
      </c>
      <c r="J17" s="6">
        <v>45</v>
      </c>
      <c r="K17" s="3">
        <f t="shared" si="1"/>
        <v>135</v>
      </c>
      <c r="L17" s="3">
        <f t="shared" si="2"/>
        <v>1611</v>
      </c>
    </row>
    <row r="18" ht="18" customHeight="1" spans="1:12">
      <c r="A18" s="3">
        <v>16</v>
      </c>
      <c r="B18" s="3" t="s">
        <v>133</v>
      </c>
      <c r="C18" s="4">
        <v>396</v>
      </c>
      <c r="D18" s="4">
        <v>397</v>
      </c>
      <c r="E18" s="4">
        <v>397</v>
      </c>
      <c r="F18" s="4">
        <v>3</v>
      </c>
      <c r="G18" s="3">
        <f t="shared" si="0"/>
        <v>1191</v>
      </c>
      <c r="H18" s="3" t="s">
        <v>56</v>
      </c>
      <c r="I18" s="3">
        <v>3</v>
      </c>
      <c r="J18" s="6">
        <v>48</v>
      </c>
      <c r="K18" s="3">
        <f t="shared" si="1"/>
        <v>144</v>
      </c>
      <c r="L18" s="3">
        <f t="shared" si="2"/>
        <v>1335</v>
      </c>
    </row>
    <row r="19" ht="18" customHeight="1" spans="1:12">
      <c r="A19" s="3">
        <v>17</v>
      </c>
      <c r="B19" s="3" t="s">
        <v>134</v>
      </c>
      <c r="C19" s="4">
        <v>847</v>
      </c>
      <c r="D19" s="4">
        <v>809</v>
      </c>
      <c r="E19" s="4">
        <v>809</v>
      </c>
      <c r="F19" s="4">
        <v>3</v>
      </c>
      <c r="G19" s="3">
        <f t="shared" si="0"/>
        <v>2427</v>
      </c>
      <c r="H19" s="3" t="s">
        <v>58</v>
      </c>
      <c r="I19" s="3">
        <v>3</v>
      </c>
      <c r="J19" s="6">
        <v>51</v>
      </c>
      <c r="K19" s="3">
        <f t="shared" si="1"/>
        <v>153</v>
      </c>
      <c r="L19" s="3">
        <f t="shared" si="2"/>
        <v>2580</v>
      </c>
    </row>
    <row r="20" ht="18" customHeight="1" spans="1:12">
      <c r="A20" s="3">
        <v>18</v>
      </c>
      <c r="B20" s="3" t="s">
        <v>135</v>
      </c>
      <c r="C20" s="4">
        <v>835</v>
      </c>
      <c r="D20" s="4">
        <v>831</v>
      </c>
      <c r="E20" s="4">
        <v>831</v>
      </c>
      <c r="F20" s="4">
        <v>3</v>
      </c>
      <c r="G20" s="3">
        <f t="shared" si="0"/>
        <v>2493</v>
      </c>
      <c r="H20" s="3" t="s">
        <v>60</v>
      </c>
      <c r="I20" s="3">
        <v>4</v>
      </c>
      <c r="J20" s="6">
        <v>54</v>
      </c>
      <c r="K20" s="3">
        <f t="shared" si="1"/>
        <v>216</v>
      </c>
      <c r="L20" s="3">
        <f t="shared" si="2"/>
        <v>2709</v>
      </c>
    </row>
    <row r="21" ht="18" customHeight="1" spans="1:12">
      <c r="A21" s="3">
        <v>19</v>
      </c>
      <c r="B21" s="3" t="s">
        <v>136</v>
      </c>
      <c r="C21" s="4">
        <v>832</v>
      </c>
      <c r="D21" s="4">
        <v>820</v>
      </c>
      <c r="E21" s="4">
        <v>820</v>
      </c>
      <c r="F21" s="4">
        <v>3</v>
      </c>
      <c r="G21" s="3">
        <f t="shared" si="0"/>
        <v>2460</v>
      </c>
      <c r="H21" s="3" t="s">
        <v>62</v>
      </c>
      <c r="I21" s="3">
        <v>2</v>
      </c>
      <c r="J21" s="6">
        <v>57</v>
      </c>
      <c r="K21" s="3">
        <f t="shared" si="1"/>
        <v>114</v>
      </c>
      <c r="L21" s="3">
        <f t="shared" si="2"/>
        <v>2574</v>
      </c>
    </row>
    <row r="22" ht="18" customHeight="1" spans="1:12">
      <c r="A22" s="3">
        <v>20</v>
      </c>
      <c r="B22" s="3" t="s">
        <v>137</v>
      </c>
      <c r="C22" s="4">
        <v>806</v>
      </c>
      <c r="D22" s="4">
        <v>819</v>
      </c>
      <c r="E22" s="4">
        <v>819</v>
      </c>
      <c r="F22" s="4">
        <v>3</v>
      </c>
      <c r="G22" s="3">
        <f t="shared" si="0"/>
        <v>2457</v>
      </c>
      <c r="H22" s="3" t="s">
        <v>64</v>
      </c>
      <c r="I22" s="3">
        <v>0</v>
      </c>
      <c r="J22" s="6">
        <v>60</v>
      </c>
      <c r="K22" s="3">
        <f t="shared" si="1"/>
        <v>0</v>
      </c>
      <c r="L22" s="3">
        <f t="shared" si="2"/>
        <v>2457</v>
      </c>
    </row>
    <row r="23" ht="18" customHeight="1" spans="1:12">
      <c r="A23" s="3">
        <v>21</v>
      </c>
      <c r="B23" s="3" t="s">
        <v>138</v>
      </c>
      <c r="C23" s="4">
        <v>804</v>
      </c>
      <c r="D23" s="4">
        <v>838</v>
      </c>
      <c r="E23" s="4">
        <v>838</v>
      </c>
      <c r="F23" s="4">
        <v>3</v>
      </c>
      <c r="G23" s="3">
        <f t="shared" si="0"/>
        <v>2514</v>
      </c>
      <c r="H23" s="3" t="s">
        <v>66</v>
      </c>
      <c r="I23" s="3">
        <v>2</v>
      </c>
      <c r="J23" s="6">
        <v>63</v>
      </c>
      <c r="K23" s="3">
        <f t="shared" si="1"/>
        <v>126</v>
      </c>
      <c r="L23" s="3">
        <f t="shared" si="2"/>
        <v>2640</v>
      </c>
    </row>
    <row r="24" ht="18" customHeight="1" spans="1:12">
      <c r="A24" s="3">
        <v>22</v>
      </c>
      <c r="B24" s="3" t="s">
        <v>139</v>
      </c>
      <c r="C24" s="4">
        <v>403</v>
      </c>
      <c r="D24" s="4">
        <v>439</v>
      </c>
      <c r="E24" s="4">
        <v>439</v>
      </c>
      <c r="F24" s="4">
        <v>3</v>
      </c>
      <c r="G24" s="3">
        <f t="shared" si="0"/>
        <v>1317</v>
      </c>
      <c r="H24" s="3" t="s">
        <v>68</v>
      </c>
      <c r="I24" s="3">
        <v>3</v>
      </c>
      <c r="J24" s="6">
        <v>66</v>
      </c>
      <c r="K24" s="3">
        <f t="shared" si="1"/>
        <v>198</v>
      </c>
      <c r="L24" s="3">
        <f t="shared" si="2"/>
        <v>1515</v>
      </c>
    </row>
    <row r="25" ht="18" customHeight="1" spans="1:12">
      <c r="A25" s="3">
        <v>23</v>
      </c>
      <c r="B25" s="3" t="s">
        <v>140</v>
      </c>
      <c r="C25" s="4">
        <v>396</v>
      </c>
      <c r="D25" s="4">
        <v>368</v>
      </c>
      <c r="E25" s="4">
        <v>368</v>
      </c>
      <c r="F25" s="4">
        <v>3</v>
      </c>
      <c r="G25" s="3">
        <f t="shared" si="0"/>
        <v>1104</v>
      </c>
      <c r="H25" s="3" t="s">
        <v>70</v>
      </c>
      <c r="I25" s="3">
        <v>1</v>
      </c>
      <c r="J25" s="6">
        <v>69</v>
      </c>
      <c r="K25" s="3">
        <f t="shared" si="1"/>
        <v>69</v>
      </c>
      <c r="L25" s="3">
        <f t="shared" si="2"/>
        <v>1173</v>
      </c>
    </row>
    <row r="26" ht="18" customHeight="1" spans="1:12">
      <c r="A26" s="3">
        <v>24</v>
      </c>
      <c r="B26" s="3" t="s">
        <v>141</v>
      </c>
      <c r="C26" s="4">
        <v>809</v>
      </c>
      <c r="D26" s="4">
        <v>781</v>
      </c>
      <c r="E26" s="4">
        <v>781</v>
      </c>
      <c r="F26" s="4">
        <v>3</v>
      </c>
      <c r="G26" s="3">
        <f t="shared" si="0"/>
        <v>2343</v>
      </c>
      <c r="H26" s="3" t="s">
        <v>72</v>
      </c>
      <c r="I26" s="3">
        <v>1</v>
      </c>
      <c r="J26" s="6">
        <v>72</v>
      </c>
      <c r="K26" s="3">
        <f t="shared" si="1"/>
        <v>72</v>
      </c>
      <c r="L26" s="3">
        <f t="shared" si="2"/>
        <v>2415</v>
      </c>
    </row>
    <row r="27" ht="18" customHeight="1" spans="1:12">
      <c r="A27" s="3">
        <v>25</v>
      </c>
      <c r="B27" s="3" t="s">
        <v>142</v>
      </c>
      <c r="C27" s="4">
        <v>818</v>
      </c>
      <c r="D27" s="4">
        <v>812</v>
      </c>
      <c r="E27" s="4">
        <v>812</v>
      </c>
      <c r="F27" s="4">
        <v>3</v>
      </c>
      <c r="G27" s="3">
        <f t="shared" si="0"/>
        <v>2436</v>
      </c>
      <c r="H27" s="3" t="s">
        <v>74</v>
      </c>
      <c r="I27" s="3">
        <v>0</v>
      </c>
      <c r="J27" s="6">
        <v>75</v>
      </c>
      <c r="K27" s="3">
        <f t="shared" si="1"/>
        <v>0</v>
      </c>
      <c r="L27" s="3">
        <f t="shared" si="2"/>
        <v>2436</v>
      </c>
    </row>
    <row r="28" ht="18" customHeight="1" spans="1:12">
      <c r="A28" s="3">
        <v>26</v>
      </c>
      <c r="B28" s="3" t="s">
        <v>143</v>
      </c>
      <c r="C28" s="4">
        <v>797</v>
      </c>
      <c r="D28" s="4">
        <v>809</v>
      </c>
      <c r="E28" s="4">
        <v>809</v>
      </c>
      <c r="F28" s="4">
        <v>3</v>
      </c>
      <c r="G28" s="3">
        <f t="shared" si="0"/>
        <v>2427</v>
      </c>
      <c r="H28" s="3" t="s">
        <v>76</v>
      </c>
      <c r="I28" s="3">
        <v>2</v>
      </c>
      <c r="J28" s="6">
        <v>78</v>
      </c>
      <c r="K28" s="3">
        <f t="shared" si="1"/>
        <v>156</v>
      </c>
      <c r="L28" s="3">
        <f t="shared" si="2"/>
        <v>2583</v>
      </c>
    </row>
    <row r="29" ht="18" customHeight="1" spans="1:12">
      <c r="A29" s="3">
        <v>27</v>
      </c>
      <c r="B29" s="3" t="s">
        <v>144</v>
      </c>
      <c r="C29" s="4">
        <v>825</v>
      </c>
      <c r="D29" s="4">
        <v>839</v>
      </c>
      <c r="E29" s="4">
        <v>839</v>
      </c>
      <c r="F29" s="4">
        <v>3</v>
      </c>
      <c r="G29" s="3">
        <f t="shared" si="0"/>
        <v>2517</v>
      </c>
      <c r="H29" s="3" t="s">
        <v>78</v>
      </c>
      <c r="I29" s="3">
        <v>2</v>
      </c>
      <c r="J29" s="6">
        <v>81</v>
      </c>
      <c r="K29" s="3">
        <f t="shared" si="1"/>
        <v>162</v>
      </c>
      <c r="L29" s="3">
        <f t="shared" si="2"/>
        <v>2679</v>
      </c>
    </row>
    <row r="30" ht="18" customHeight="1" spans="1:12">
      <c r="A30" s="3">
        <v>28</v>
      </c>
      <c r="B30" s="3" t="s">
        <v>145</v>
      </c>
      <c r="C30" s="4">
        <v>798</v>
      </c>
      <c r="D30" s="4">
        <v>815</v>
      </c>
      <c r="E30" s="4">
        <v>815</v>
      </c>
      <c r="F30" s="4">
        <v>3</v>
      </c>
      <c r="G30" s="3">
        <f t="shared" si="0"/>
        <v>2445</v>
      </c>
      <c r="H30" s="3" t="s">
        <v>80</v>
      </c>
      <c r="I30" s="3">
        <v>1</v>
      </c>
      <c r="J30" s="6">
        <v>84</v>
      </c>
      <c r="K30" s="3">
        <f t="shared" si="1"/>
        <v>84</v>
      </c>
      <c r="L30" s="3">
        <f t="shared" si="2"/>
        <v>2529</v>
      </c>
    </row>
    <row r="31" ht="18" customHeight="1" spans="1:12">
      <c r="A31" s="3">
        <v>29</v>
      </c>
      <c r="B31" s="3" t="s">
        <v>146</v>
      </c>
      <c r="C31" s="4">
        <v>491</v>
      </c>
      <c r="D31" s="4">
        <v>516</v>
      </c>
      <c r="E31" s="4">
        <v>516</v>
      </c>
      <c r="F31" s="4">
        <v>3</v>
      </c>
      <c r="G31" s="3">
        <f t="shared" si="0"/>
        <v>1548</v>
      </c>
      <c r="H31" s="3" t="s">
        <v>82</v>
      </c>
      <c r="I31" s="3">
        <v>0</v>
      </c>
      <c r="J31" s="6">
        <v>87</v>
      </c>
      <c r="K31" s="3">
        <f t="shared" si="1"/>
        <v>0</v>
      </c>
      <c r="L31" s="3">
        <f t="shared" si="2"/>
        <v>1548</v>
      </c>
    </row>
    <row r="32" ht="18" customHeight="1" spans="1:12">
      <c r="A32" s="3">
        <v>30</v>
      </c>
      <c r="B32" s="3" t="s">
        <v>147</v>
      </c>
      <c r="C32" s="4">
        <v>432</v>
      </c>
      <c r="D32" s="4">
        <v>429</v>
      </c>
      <c r="E32" s="4">
        <v>429</v>
      </c>
      <c r="F32" s="4">
        <v>3</v>
      </c>
      <c r="G32" s="3">
        <f t="shared" si="0"/>
        <v>1287</v>
      </c>
      <c r="H32" s="3" t="s">
        <v>84</v>
      </c>
      <c r="I32" s="3">
        <v>0</v>
      </c>
      <c r="J32" s="6">
        <v>90</v>
      </c>
      <c r="K32" s="3">
        <f t="shared" si="1"/>
        <v>0</v>
      </c>
      <c r="L32" s="3">
        <f t="shared" si="2"/>
        <v>1287</v>
      </c>
    </row>
    <row r="33" ht="18" customHeight="1" spans="1:12">
      <c r="A33" s="4">
        <v>31</v>
      </c>
      <c r="B33" s="3" t="s">
        <v>148</v>
      </c>
      <c r="C33" s="4">
        <v>853</v>
      </c>
      <c r="D33" s="4">
        <v>822</v>
      </c>
      <c r="E33" s="4">
        <v>822</v>
      </c>
      <c r="F33" s="4">
        <v>3</v>
      </c>
      <c r="G33" s="3">
        <f t="shared" si="0"/>
        <v>2466</v>
      </c>
      <c r="H33" s="3" t="s">
        <v>86</v>
      </c>
      <c r="I33" s="3">
        <v>1</v>
      </c>
      <c r="J33" s="3">
        <v>93</v>
      </c>
      <c r="K33" s="3">
        <f t="shared" si="1"/>
        <v>93</v>
      </c>
      <c r="L33" s="3">
        <f t="shared" si="2"/>
        <v>2559</v>
      </c>
    </row>
    <row r="34" ht="18" customHeight="1" spans="1:12">
      <c r="A34" s="3" t="s">
        <v>87</v>
      </c>
      <c r="B34" s="5"/>
      <c r="C34" s="4">
        <f>SUM(C3:C33)</f>
        <v>21875</v>
      </c>
      <c r="D34" s="4">
        <f>SUM(D3:D33)</f>
        <v>21940</v>
      </c>
      <c r="E34" s="4">
        <f>SUM(E3:E33)</f>
        <v>21940</v>
      </c>
      <c r="F34" s="4">
        <v>3</v>
      </c>
      <c r="G34" s="3">
        <f t="shared" si="0"/>
        <v>65820</v>
      </c>
      <c r="H34" s="4"/>
      <c r="I34" s="4"/>
      <c r="J34" s="5"/>
      <c r="K34" s="3">
        <f>SUM(K3:K33)</f>
        <v>13587</v>
      </c>
      <c r="L34" s="3">
        <f>SUM(L3:L33)</f>
        <v>79407</v>
      </c>
    </row>
  </sheetData>
  <mergeCells count="3">
    <mergeCell ref="A1:L1"/>
    <mergeCell ref="H2:J2"/>
    <mergeCell ref="H34:J34"/>
  </mergeCells>
  <pageMargins left="0.75" right="0.75" top="1" bottom="1" header="0.5" footer="0.5"/>
  <pageSetup paperSize="3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workbookViewId="0">
      <selection activeCell="A3" sqref="$A3:$XFD33"/>
    </sheetView>
  </sheetViews>
  <sheetFormatPr defaultColWidth="9" defaultRowHeight="16.8"/>
  <cols>
    <col min="2" max="2" width="15.5" customWidth="1"/>
    <col min="3" max="3" width="18" customWidth="1"/>
    <col min="4" max="4" width="17.625" customWidth="1"/>
    <col min="5" max="5" width="17" customWidth="1"/>
    <col min="6" max="6" width="19.5" customWidth="1"/>
    <col min="7" max="7" width="19" customWidth="1"/>
    <col min="11" max="11" width="20.5" customWidth="1"/>
    <col min="12" max="12" width="22.125" customWidth="1"/>
  </cols>
  <sheetData>
    <row r="1" ht="32" customHeight="1" spans="1:12">
      <c r="A1" s="1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  <c r="L1" s="8"/>
    </row>
    <row r="2" ht="27" customHeight="1" spans="1:12">
      <c r="A2" s="3" t="s">
        <v>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6" t="s">
        <v>21</v>
      </c>
      <c r="H2" s="7" t="s">
        <v>22</v>
      </c>
      <c r="I2" s="3"/>
      <c r="J2" s="3"/>
      <c r="K2" s="6" t="s">
        <v>23</v>
      </c>
      <c r="L2" s="3" t="s">
        <v>24</v>
      </c>
    </row>
    <row r="3" ht="18" customHeight="1" spans="1:12">
      <c r="A3" s="3">
        <v>1</v>
      </c>
      <c r="B3" s="3" t="s">
        <v>150</v>
      </c>
      <c r="C3" s="3">
        <v>815</v>
      </c>
      <c r="D3" s="3">
        <v>799</v>
      </c>
      <c r="E3" s="3">
        <v>799</v>
      </c>
      <c r="F3" s="3">
        <v>3</v>
      </c>
      <c r="G3" s="3">
        <f t="shared" ref="G3:G34" si="0">E3*F3</f>
        <v>2397</v>
      </c>
      <c r="H3" s="3" t="s">
        <v>26</v>
      </c>
      <c r="I3" s="3">
        <v>1487</v>
      </c>
      <c r="J3" s="6">
        <v>3</v>
      </c>
      <c r="K3" s="3">
        <f t="shared" ref="K3:K33" si="1">I3*J3</f>
        <v>4461</v>
      </c>
      <c r="L3" s="3">
        <f t="shared" ref="L3:L33" si="2">G3+K3</f>
        <v>6858</v>
      </c>
    </row>
    <row r="4" ht="18" customHeight="1" spans="1:12">
      <c r="A4" s="3">
        <v>2</v>
      </c>
      <c r="B4" s="3" t="s">
        <v>151</v>
      </c>
      <c r="C4" s="3">
        <v>795</v>
      </c>
      <c r="D4" s="3">
        <v>804</v>
      </c>
      <c r="E4" s="3">
        <v>804</v>
      </c>
      <c r="F4" s="4">
        <v>3</v>
      </c>
      <c r="G4" s="3">
        <f t="shared" si="0"/>
        <v>2412</v>
      </c>
      <c r="H4" s="3" t="s">
        <v>28</v>
      </c>
      <c r="I4" s="3">
        <v>338</v>
      </c>
      <c r="J4" s="6">
        <v>6</v>
      </c>
      <c r="K4" s="3">
        <f t="shared" si="1"/>
        <v>2028</v>
      </c>
      <c r="L4" s="3">
        <f t="shared" si="2"/>
        <v>4440</v>
      </c>
    </row>
    <row r="5" ht="18" customHeight="1" spans="1:12">
      <c r="A5" s="3">
        <v>3</v>
      </c>
      <c r="B5" s="3" t="s">
        <v>152</v>
      </c>
      <c r="C5" s="3">
        <v>773</v>
      </c>
      <c r="D5" s="3">
        <v>828</v>
      </c>
      <c r="E5" s="3">
        <v>828</v>
      </c>
      <c r="F5" s="4">
        <v>3</v>
      </c>
      <c r="G5" s="3">
        <f t="shared" si="0"/>
        <v>2484</v>
      </c>
      <c r="H5" s="3" t="s">
        <v>30</v>
      </c>
      <c r="I5" s="3">
        <v>173</v>
      </c>
      <c r="J5" s="6">
        <v>9</v>
      </c>
      <c r="K5" s="3">
        <f t="shared" si="1"/>
        <v>1557</v>
      </c>
      <c r="L5" s="3">
        <f t="shared" si="2"/>
        <v>4041</v>
      </c>
    </row>
    <row r="6" ht="18" customHeight="1" spans="1:12">
      <c r="A6" s="3">
        <v>4</v>
      </c>
      <c r="B6" s="3" t="s">
        <v>153</v>
      </c>
      <c r="C6" s="3">
        <v>320</v>
      </c>
      <c r="D6" s="3">
        <v>350</v>
      </c>
      <c r="E6" s="3">
        <v>350</v>
      </c>
      <c r="F6" s="4">
        <v>3</v>
      </c>
      <c r="G6" s="3">
        <f t="shared" si="0"/>
        <v>1050</v>
      </c>
      <c r="H6" s="3" t="s">
        <v>32</v>
      </c>
      <c r="I6" s="3">
        <v>87</v>
      </c>
      <c r="J6" s="6">
        <v>12</v>
      </c>
      <c r="K6" s="3">
        <f t="shared" si="1"/>
        <v>1044</v>
      </c>
      <c r="L6" s="3">
        <f t="shared" si="2"/>
        <v>2094</v>
      </c>
    </row>
    <row r="7" ht="18" customHeight="1" spans="1:12">
      <c r="A7" s="3">
        <v>5</v>
      </c>
      <c r="B7" s="3" t="s">
        <v>154</v>
      </c>
      <c r="C7" s="3">
        <v>308</v>
      </c>
      <c r="D7" s="3">
        <v>312</v>
      </c>
      <c r="E7" s="3">
        <v>312</v>
      </c>
      <c r="F7" s="4">
        <v>3</v>
      </c>
      <c r="G7" s="3">
        <f t="shared" si="0"/>
        <v>936</v>
      </c>
      <c r="H7" s="3" t="s">
        <v>34</v>
      </c>
      <c r="I7" s="3">
        <v>60</v>
      </c>
      <c r="J7" s="6">
        <v>15</v>
      </c>
      <c r="K7" s="3">
        <f t="shared" si="1"/>
        <v>900</v>
      </c>
      <c r="L7" s="3">
        <f t="shared" si="2"/>
        <v>1836</v>
      </c>
    </row>
    <row r="8" ht="18" customHeight="1" spans="1:12">
      <c r="A8" s="3">
        <v>6</v>
      </c>
      <c r="B8" s="3" t="s">
        <v>155</v>
      </c>
      <c r="C8" s="4">
        <v>425</v>
      </c>
      <c r="D8" s="4">
        <v>422</v>
      </c>
      <c r="E8" s="4">
        <v>422</v>
      </c>
      <c r="F8" s="4">
        <v>3</v>
      </c>
      <c r="G8" s="3">
        <f t="shared" si="0"/>
        <v>1266</v>
      </c>
      <c r="H8" s="3" t="s">
        <v>36</v>
      </c>
      <c r="I8" s="3">
        <v>20</v>
      </c>
      <c r="J8" s="6">
        <v>18</v>
      </c>
      <c r="K8" s="3">
        <f t="shared" si="1"/>
        <v>360</v>
      </c>
      <c r="L8" s="3">
        <f t="shared" si="2"/>
        <v>1626</v>
      </c>
    </row>
    <row r="9" ht="18" customHeight="1" spans="1:12">
      <c r="A9" s="3">
        <v>7</v>
      </c>
      <c r="B9" s="3" t="s">
        <v>156</v>
      </c>
      <c r="C9" s="4">
        <v>811</v>
      </c>
      <c r="D9" s="4">
        <v>765</v>
      </c>
      <c r="E9" s="4">
        <v>765</v>
      </c>
      <c r="F9" s="4">
        <v>3</v>
      </c>
      <c r="G9" s="3">
        <f t="shared" si="0"/>
        <v>2295</v>
      </c>
      <c r="H9" s="3" t="s">
        <v>38</v>
      </c>
      <c r="I9" s="3">
        <v>18</v>
      </c>
      <c r="J9" s="6">
        <v>21</v>
      </c>
      <c r="K9" s="3">
        <f t="shared" si="1"/>
        <v>378</v>
      </c>
      <c r="L9" s="3">
        <f t="shared" si="2"/>
        <v>2673</v>
      </c>
    </row>
    <row r="10" ht="18" customHeight="1" spans="1:12">
      <c r="A10" s="3">
        <v>8</v>
      </c>
      <c r="B10" s="3" t="s">
        <v>157</v>
      </c>
      <c r="C10" s="4">
        <v>803</v>
      </c>
      <c r="D10" s="4">
        <v>806</v>
      </c>
      <c r="E10" s="4">
        <v>806</v>
      </c>
      <c r="F10" s="4">
        <v>3</v>
      </c>
      <c r="G10" s="3">
        <f t="shared" si="0"/>
        <v>2418</v>
      </c>
      <c r="H10" s="3" t="s">
        <v>40</v>
      </c>
      <c r="I10" s="3">
        <v>17</v>
      </c>
      <c r="J10" s="6">
        <v>24</v>
      </c>
      <c r="K10" s="3">
        <f t="shared" si="1"/>
        <v>408</v>
      </c>
      <c r="L10" s="3">
        <f t="shared" si="2"/>
        <v>2826</v>
      </c>
    </row>
    <row r="11" ht="18" customHeight="1" spans="1:12">
      <c r="A11" s="3">
        <v>9</v>
      </c>
      <c r="B11" s="3" t="s">
        <v>158</v>
      </c>
      <c r="C11" s="4">
        <v>813</v>
      </c>
      <c r="D11" s="4">
        <v>804</v>
      </c>
      <c r="E11" s="4">
        <v>804</v>
      </c>
      <c r="F11" s="4">
        <v>3</v>
      </c>
      <c r="G11" s="3">
        <f t="shared" si="0"/>
        <v>2412</v>
      </c>
      <c r="H11" s="3" t="s">
        <v>42</v>
      </c>
      <c r="I11" s="3">
        <v>8</v>
      </c>
      <c r="J11" s="6">
        <v>27</v>
      </c>
      <c r="K11" s="3">
        <f t="shared" si="1"/>
        <v>216</v>
      </c>
      <c r="L11" s="3">
        <f t="shared" si="2"/>
        <v>2628</v>
      </c>
    </row>
    <row r="12" ht="18" customHeight="1" spans="1:12">
      <c r="A12" s="3">
        <v>10</v>
      </c>
      <c r="B12" s="3" t="s">
        <v>159</v>
      </c>
      <c r="C12" s="4">
        <v>781</v>
      </c>
      <c r="D12" s="4">
        <v>760</v>
      </c>
      <c r="E12" s="4">
        <v>760</v>
      </c>
      <c r="F12" s="4">
        <v>3</v>
      </c>
      <c r="G12" s="3">
        <f t="shared" si="0"/>
        <v>2280</v>
      </c>
      <c r="H12" s="3" t="s">
        <v>44</v>
      </c>
      <c r="I12" s="3">
        <v>9</v>
      </c>
      <c r="J12" s="6">
        <v>30</v>
      </c>
      <c r="K12" s="3">
        <f t="shared" si="1"/>
        <v>270</v>
      </c>
      <c r="L12" s="3">
        <f t="shared" si="2"/>
        <v>2550</v>
      </c>
    </row>
    <row r="13" ht="18" customHeight="1" spans="1:12">
      <c r="A13" s="3">
        <v>11</v>
      </c>
      <c r="B13" s="3" t="s">
        <v>160</v>
      </c>
      <c r="C13" s="4">
        <v>764</v>
      </c>
      <c r="D13" s="4">
        <v>757</v>
      </c>
      <c r="E13" s="4">
        <v>757</v>
      </c>
      <c r="F13" s="4">
        <v>3</v>
      </c>
      <c r="G13" s="3">
        <f t="shared" si="0"/>
        <v>2271</v>
      </c>
      <c r="H13" s="3" t="s">
        <v>46</v>
      </c>
      <c r="I13" s="3">
        <v>2</v>
      </c>
      <c r="J13" s="6">
        <v>33</v>
      </c>
      <c r="K13" s="3">
        <f t="shared" si="1"/>
        <v>66</v>
      </c>
      <c r="L13" s="3">
        <f t="shared" si="2"/>
        <v>2337</v>
      </c>
    </row>
    <row r="14" ht="18" customHeight="1" spans="1:12">
      <c r="A14" s="3">
        <v>12</v>
      </c>
      <c r="B14" s="3" t="s">
        <v>161</v>
      </c>
      <c r="C14" s="4">
        <v>420</v>
      </c>
      <c r="D14" s="4">
        <v>449</v>
      </c>
      <c r="E14" s="4">
        <v>449</v>
      </c>
      <c r="F14" s="4">
        <v>3</v>
      </c>
      <c r="G14" s="3">
        <f t="shared" si="0"/>
        <v>1347</v>
      </c>
      <c r="H14" s="3" t="s">
        <v>48</v>
      </c>
      <c r="I14" s="3">
        <v>3</v>
      </c>
      <c r="J14" s="6">
        <v>36</v>
      </c>
      <c r="K14" s="3">
        <f t="shared" si="1"/>
        <v>108</v>
      </c>
      <c r="L14" s="3">
        <f t="shared" si="2"/>
        <v>1455</v>
      </c>
    </row>
    <row r="15" ht="18" customHeight="1" spans="1:12">
      <c r="A15" s="3">
        <v>13</v>
      </c>
      <c r="B15" s="3" t="s">
        <v>162</v>
      </c>
      <c r="C15" s="4">
        <v>411</v>
      </c>
      <c r="D15" s="4">
        <v>449</v>
      </c>
      <c r="E15" s="4">
        <v>449</v>
      </c>
      <c r="F15" s="4">
        <v>3</v>
      </c>
      <c r="G15" s="3">
        <f t="shared" si="0"/>
        <v>1347</v>
      </c>
      <c r="H15" s="3" t="s">
        <v>50</v>
      </c>
      <c r="I15" s="3">
        <v>7</v>
      </c>
      <c r="J15" s="6">
        <v>39</v>
      </c>
      <c r="K15" s="3">
        <f t="shared" si="1"/>
        <v>273</v>
      </c>
      <c r="L15" s="3">
        <f t="shared" si="2"/>
        <v>1620</v>
      </c>
    </row>
    <row r="16" ht="18" customHeight="1" spans="1:12">
      <c r="A16" s="3">
        <v>14</v>
      </c>
      <c r="B16" s="3" t="s">
        <v>163</v>
      </c>
      <c r="C16" s="4">
        <v>825</v>
      </c>
      <c r="D16" s="4">
        <v>811</v>
      </c>
      <c r="E16" s="4">
        <v>811</v>
      </c>
      <c r="F16" s="4">
        <v>3</v>
      </c>
      <c r="G16" s="3">
        <f t="shared" si="0"/>
        <v>2433</v>
      </c>
      <c r="H16" s="3" t="s">
        <v>52</v>
      </c>
      <c r="I16" s="3">
        <v>4</v>
      </c>
      <c r="J16" s="6">
        <v>42</v>
      </c>
      <c r="K16" s="3">
        <f t="shared" si="1"/>
        <v>168</v>
      </c>
      <c r="L16" s="3">
        <f t="shared" si="2"/>
        <v>2601</v>
      </c>
    </row>
    <row r="17" ht="18" customHeight="1" spans="1:12">
      <c r="A17" s="3">
        <v>15</v>
      </c>
      <c r="B17" s="3" t="s">
        <v>164</v>
      </c>
      <c r="C17" s="4">
        <v>813</v>
      </c>
      <c r="D17" s="4">
        <v>826</v>
      </c>
      <c r="E17" s="4">
        <v>826</v>
      </c>
      <c r="F17" s="4">
        <v>3</v>
      </c>
      <c r="G17" s="3">
        <f t="shared" si="0"/>
        <v>2478</v>
      </c>
      <c r="H17" s="3" t="s">
        <v>54</v>
      </c>
      <c r="I17" s="3">
        <v>2</v>
      </c>
      <c r="J17" s="6">
        <v>45</v>
      </c>
      <c r="K17" s="3">
        <f t="shared" si="1"/>
        <v>90</v>
      </c>
      <c r="L17" s="3">
        <f t="shared" si="2"/>
        <v>2568</v>
      </c>
    </row>
    <row r="18" ht="18" customHeight="1" spans="1:12">
      <c r="A18" s="3">
        <v>16</v>
      </c>
      <c r="B18" s="3" t="s">
        <v>165</v>
      </c>
      <c r="C18" s="4">
        <v>799</v>
      </c>
      <c r="D18" s="4">
        <v>789</v>
      </c>
      <c r="E18" s="4">
        <v>789</v>
      </c>
      <c r="F18" s="4">
        <v>3</v>
      </c>
      <c r="G18" s="3">
        <f t="shared" si="0"/>
        <v>2367</v>
      </c>
      <c r="H18" s="3" t="s">
        <v>56</v>
      </c>
      <c r="I18" s="3">
        <v>2</v>
      </c>
      <c r="J18" s="6">
        <v>48</v>
      </c>
      <c r="K18" s="3">
        <f t="shared" si="1"/>
        <v>96</v>
      </c>
      <c r="L18" s="3">
        <f t="shared" si="2"/>
        <v>2463</v>
      </c>
    </row>
    <row r="19" ht="18" customHeight="1" spans="1:12">
      <c r="A19" s="3">
        <v>17</v>
      </c>
      <c r="B19" s="3" t="s">
        <v>166</v>
      </c>
      <c r="C19" s="4">
        <v>771</v>
      </c>
      <c r="D19" s="4">
        <v>781</v>
      </c>
      <c r="E19" s="4">
        <v>781</v>
      </c>
      <c r="F19" s="4">
        <v>3</v>
      </c>
      <c r="G19" s="3">
        <f t="shared" si="0"/>
        <v>2343</v>
      </c>
      <c r="H19" s="3" t="s">
        <v>58</v>
      </c>
      <c r="I19" s="3">
        <v>1</v>
      </c>
      <c r="J19" s="6">
        <v>51</v>
      </c>
      <c r="K19" s="3">
        <f t="shared" si="1"/>
        <v>51</v>
      </c>
      <c r="L19" s="3">
        <f t="shared" si="2"/>
        <v>2394</v>
      </c>
    </row>
    <row r="20" ht="18" customHeight="1" spans="1:12">
      <c r="A20" s="3">
        <v>18</v>
      </c>
      <c r="B20" s="3" t="s">
        <v>167</v>
      </c>
      <c r="C20" s="4">
        <v>817</v>
      </c>
      <c r="D20" s="4">
        <v>807</v>
      </c>
      <c r="E20" s="4">
        <v>807</v>
      </c>
      <c r="F20" s="4">
        <v>3</v>
      </c>
      <c r="G20" s="3">
        <f t="shared" si="0"/>
        <v>2421</v>
      </c>
      <c r="H20" s="3" t="s">
        <v>60</v>
      </c>
      <c r="I20" s="3">
        <v>1</v>
      </c>
      <c r="J20" s="6">
        <v>54</v>
      </c>
      <c r="K20" s="3">
        <f t="shared" si="1"/>
        <v>54</v>
      </c>
      <c r="L20" s="3">
        <f t="shared" si="2"/>
        <v>2475</v>
      </c>
    </row>
    <row r="21" ht="18" customHeight="1" spans="1:12">
      <c r="A21" s="3">
        <v>19</v>
      </c>
      <c r="B21" s="3" t="s">
        <v>168</v>
      </c>
      <c r="C21" s="4">
        <v>382</v>
      </c>
      <c r="D21" s="4">
        <v>429</v>
      </c>
      <c r="E21" s="4">
        <v>429</v>
      </c>
      <c r="F21" s="4">
        <v>3</v>
      </c>
      <c r="G21" s="3">
        <f t="shared" si="0"/>
        <v>1287</v>
      </c>
      <c r="H21" s="3" t="s">
        <v>62</v>
      </c>
      <c r="I21" s="3">
        <v>1</v>
      </c>
      <c r="J21" s="6">
        <v>57</v>
      </c>
      <c r="K21" s="3">
        <f t="shared" si="1"/>
        <v>57</v>
      </c>
      <c r="L21" s="3">
        <f t="shared" si="2"/>
        <v>1344</v>
      </c>
    </row>
    <row r="22" ht="18" customHeight="1" spans="1:12">
      <c r="A22" s="3">
        <v>20</v>
      </c>
      <c r="B22" s="3" t="s">
        <v>169</v>
      </c>
      <c r="C22" s="4">
        <v>376</v>
      </c>
      <c r="D22" s="4">
        <v>373</v>
      </c>
      <c r="E22" s="4">
        <v>373</v>
      </c>
      <c r="F22" s="4">
        <v>3</v>
      </c>
      <c r="G22" s="3">
        <f t="shared" si="0"/>
        <v>1119</v>
      </c>
      <c r="H22" s="3" t="s">
        <v>64</v>
      </c>
      <c r="I22" s="3">
        <v>2</v>
      </c>
      <c r="J22" s="6">
        <v>60</v>
      </c>
      <c r="K22" s="3">
        <f t="shared" si="1"/>
        <v>120</v>
      </c>
      <c r="L22" s="3">
        <f t="shared" si="2"/>
        <v>1239</v>
      </c>
    </row>
    <row r="23" ht="18" customHeight="1" spans="1:12">
      <c r="A23" s="3">
        <v>21</v>
      </c>
      <c r="B23" s="3" t="s">
        <v>170</v>
      </c>
      <c r="C23" s="4">
        <v>860</v>
      </c>
      <c r="D23" s="4">
        <v>846</v>
      </c>
      <c r="E23" s="4">
        <v>846</v>
      </c>
      <c r="F23" s="4">
        <v>3</v>
      </c>
      <c r="G23" s="3">
        <f t="shared" si="0"/>
        <v>2538</v>
      </c>
      <c r="H23" s="3" t="s">
        <v>66</v>
      </c>
      <c r="I23" s="3">
        <v>1</v>
      </c>
      <c r="J23" s="6">
        <v>63</v>
      </c>
      <c r="K23" s="3">
        <f t="shared" si="1"/>
        <v>63</v>
      </c>
      <c r="L23" s="3">
        <f t="shared" si="2"/>
        <v>2601</v>
      </c>
    </row>
    <row r="24" ht="18" customHeight="1" spans="1:12">
      <c r="A24" s="3">
        <v>22</v>
      </c>
      <c r="B24" s="3" t="s">
        <v>171</v>
      </c>
      <c r="C24" s="4">
        <v>822</v>
      </c>
      <c r="D24" s="4">
        <v>824</v>
      </c>
      <c r="E24" s="4">
        <v>824</v>
      </c>
      <c r="F24" s="4">
        <v>3</v>
      </c>
      <c r="G24" s="3">
        <f t="shared" si="0"/>
        <v>2472</v>
      </c>
      <c r="H24" s="3" t="s">
        <v>68</v>
      </c>
      <c r="I24" s="3">
        <v>2</v>
      </c>
      <c r="J24" s="6">
        <v>66</v>
      </c>
      <c r="K24" s="3">
        <f t="shared" si="1"/>
        <v>132</v>
      </c>
      <c r="L24" s="3">
        <f t="shared" si="2"/>
        <v>2604</v>
      </c>
    </row>
    <row r="25" ht="18" customHeight="1" spans="1:12">
      <c r="A25" s="3">
        <v>23</v>
      </c>
      <c r="B25" s="3" t="s">
        <v>172</v>
      </c>
      <c r="C25" s="4">
        <v>816</v>
      </c>
      <c r="D25" s="4">
        <v>829</v>
      </c>
      <c r="E25" s="4">
        <v>829</v>
      </c>
      <c r="F25" s="4">
        <v>3</v>
      </c>
      <c r="G25" s="3">
        <f t="shared" si="0"/>
        <v>2487</v>
      </c>
      <c r="H25" s="3" t="s">
        <v>70</v>
      </c>
      <c r="I25" s="3">
        <v>1</v>
      </c>
      <c r="J25" s="6">
        <v>69</v>
      </c>
      <c r="K25" s="3">
        <f t="shared" si="1"/>
        <v>69</v>
      </c>
      <c r="L25" s="3">
        <f t="shared" si="2"/>
        <v>2556</v>
      </c>
    </row>
    <row r="26" ht="18" customHeight="1" spans="1:12">
      <c r="A26" s="3">
        <v>24</v>
      </c>
      <c r="B26" s="3" t="s">
        <v>173</v>
      </c>
      <c r="C26" s="4">
        <v>834</v>
      </c>
      <c r="D26" s="4">
        <v>825</v>
      </c>
      <c r="E26" s="4">
        <v>825</v>
      </c>
      <c r="F26" s="4">
        <v>3</v>
      </c>
      <c r="G26" s="3">
        <f t="shared" si="0"/>
        <v>2475</v>
      </c>
      <c r="H26" s="3" t="s">
        <v>72</v>
      </c>
      <c r="I26" s="3">
        <v>1</v>
      </c>
      <c r="J26" s="6">
        <v>72</v>
      </c>
      <c r="K26" s="3">
        <f t="shared" si="1"/>
        <v>72</v>
      </c>
      <c r="L26" s="3">
        <f t="shared" si="2"/>
        <v>2547</v>
      </c>
    </row>
    <row r="27" ht="18" customHeight="1" spans="1:12">
      <c r="A27" s="3">
        <v>25</v>
      </c>
      <c r="B27" s="3" t="s">
        <v>174</v>
      </c>
      <c r="C27" s="4">
        <v>808</v>
      </c>
      <c r="D27" s="4">
        <v>820</v>
      </c>
      <c r="E27" s="4">
        <v>820</v>
      </c>
      <c r="F27" s="4">
        <v>3</v>
      </c>
      <c r="G27" s="3">
        <f t="shared" si="0"/>
        <v>2460</v>
      </c>
      <c r="H27" s="3" t="s">
        <v>74</v>
      </c>
      <c r="I27" s="3">
        <v>2</v>
      </c>
      <c r="J27" s="6">
        <v>75</v>
      </c>
      <c r="K27" s="3">
        <f t="shared" si="1"/>
        <v>150</v>
      </c>
      <c r="L27" s="3">
        <f t="shared" si="2"/>
        <v>2610</v>
      </c>
    </row>
    <row r="28" ht="18" customHeight="1" spans="1:12">
      <c r="A28" s="3">
        <v>26</v>
      </c>
      <c r="B28" s="3" t="s">
        <v>175</v>
      </c>
      <c r="C28" s="4">
        <v>416</v>
      </c>
      <c r="D28" s="4">
        <v>470</v>
      </c>
      <c r="E28" s="4">
        <v>470</v>
      </c>
      <c r="F28" s="4">
        <v>3</v>
      </c>
      <c r="G28" s="3">
        <f t="shared" si="0"/>
        <v>1410</v>
      </c>
      <c r="H28" s="3" t="s">
        <v>76</v>
      </c>
      <c r="I28" s="3">
        <v>1</v>
      </c>
      <c r="J28" s="6">
        <v>78</v>
      </c>
      <c r="K28" s="3">
        <f t="shared" si="1"/>
        <v>78</v>
      </c>
      <c r="L28" s="3">
        <f t="shared" si="2"/>
        <v>1488</v>
      </c>
    </row>
    <row r="29" ht="18" customHeight="1" spans="1:12">
      <c r="A29" s="3">
        <v>27</v>
      </c>
      <c r="B29" s="3" t="s">
        <v>176</v>
      </c>
      <c r="C29" s="4">
        <v>478</v>
      </c>
      <c r="D29" s="4">
        <v>468</v>
      </c>
      <c r="E29" s="4">
        <v>468</v>
      </c>
      <c r="F29" s="4">
        <v>3</v>
      </c>
      <c r="G29" s="3">
        <f t="shared" si="0"/>
        <v>1404</v>
      </c>
      <c r="H29" s="3" t="s">
        <v>78</v>
      </c>
      <c r="I29" s="3">
        <v>1</v>
      </c>
      <c r="J29" s="6">
        <v>81</v>
      </c>
      <c r="K29" s="3">
        <f t="shared" si="1"/>
        <v>81</v>
      </c>
      <c r="L29" s="3">
        <f t="shared" si="2"/>
        <v>1485</v>
      </c>
    </row>
    <row r="30" ht="18" customHeight="1" spans="1:12">
      <c r="A30" s="3">
        <v>28</v>
      </c>
      <c r="B30" s="3" t="s">
        <v>177</v>
      </c>
      <c r="C30" s="4">
        <v>830</v>
      </c>
      <c r="D30" s="4">
        <v>802</v>
      </c>
      <c r="E30" s="4">
        <v>802</v>
      </c>
      <c r="F30" s="4">
        <v>3</v>
      </c>
      <c r="G30" s="3">
        <f t="shared" si="0"/>
        <v>2406</v>
      </c>
      <c r="H30" s="3" t="s">
        <v>80</v>
      </c>
      <c r="I30" s="3">
        <v>0</v>
      </c>
      <c r="J30" s="6">
        <v>84</v>
      </c>
      <c r="K30" s="3">
        <f t="shared" si="1"/>
        <v>0</v>
      </c>
      <c r="L30" s="3">
        <f t="shared" si="2"/>
        <v>2406</v>
      </c>
    </row>
    <row r="31" ht="18" customHeight="1" spans="1:12">
      <c r="A31" s="3">
        <v>29</v>
      </c>
      <c r="B31" s="3" t="s">
        <v>178</v>
      </c>
      <c r="C31" s="4">
        <v>794</v>
      </c>
      <c r="D31" s="4">
        <v>802</v>
      </c>
      <c r="E31" s="4">
        <v>802</v>
      </c>
      <c r="F31" s="4">
        <v>3</v>
      </c>
      <c r="G31" s="3">
        <f t="shared" si="0"/>
        <v>2406</v>
      </c>
      <c r="H31" s="3" t="s">
        <v>82</v>
      </c>
      <c r="I31" s="3">
        <v>0</v>
      </c>
      <c r="J31" s="6">
        <v>87</v>
      </c>
      <c r="K31" s="3">
        <f t="shared" si="1"/>
        <v>0</v>
      </c>
      <c r="L31" s="3">
        <f t="shared" si="2"/>
        <v>2406</v>
      </c>
    </row>
    <row r="32" ht="18" customHeight="1" spans="1:12">
      <c r="A32" s="3">
        <v>30</v>
      </c>
      <c r="B32" s="3" t="s">
        <v>179</v>
      </c>
      <c r="C32" s="4">
        <v>797</v>
      </c>
      <c r="D32" s="4">
        <v>819</v>
      </c>
      <c r="E32" s="4">
        <v>819</v>
      </c>
      <c r="F32" s="4">
        <v>3</v>
      </c>
      <c r="G32" s="3">
        <f t="shared" si="0"/>
        <v>2457</v>
      </c>
      <c r="H32" s="3" t="s">
        <v>84</v>
      </c>
      <c r="I32" s="3">
        <v>1</v>
      </c>
      <c r="J32" s="6">
        <v>90</v>
      </c>
      <c r="K32" s="3">
        <f t="shared" si="1"/>
        <v>90</v>
      </c>
      <c r="L32" s="3">
        <f t="shared" si="2"/>
        <v>2547</v>
      </c>
    </row>
    <row r="33" ht="18" customHeight="1" spans="1:12">
      <c r="A33" s="3" t="s">
        <v>87</v>
      </c>
      <c r="B33" s="5"/>
      <c r="C33" s="4">
        <f>SUM(C3:C32)</f>
        <v>20477</v>
      </c>
      <c r="D33" s="4">
        <f>SUM(D3:D32)</f>
        <v>20626</v>
      </c>
      <c r="E33" s="4">
        <f>SUM(E3:E32)</f>
        <v>20626</v>
      </c>
      <c r="F33" s="4">
        <v>3</v>
      </c>
      <c r="G33" s="3">
        <f t="shared" si="0"/>
        <v>61878</v>
      </c>
      <c r="H33" s="4"/>
      <c r="I33" s="4"/>
      <c r="J33" s="5"/>
      <c r="K33" s="3">
        <f>SUM(K3:K32)</f>
        <v>13440</v>
      </c>
      <c r="L33" s="3">
        <f>SUM(L3:L32)</f>
        <v>75318</v>
      </c>
    </row>
  </sheetData>
  <mergeCells count="3">
    <mergeCell ref="A1:L1"/>
    <mergeCell ref="H2:J2"/>
    <mergeCell ref="H33:J33"/>
  </mergeCells>
  <pageMargins left="0.75" right="0.75" top="1" bottom="1" header="0.5" footer="0.5"/>
  <pageSetup paperSize="3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workbookViewId="0">
      <selection activeCell="O11" sqref="O11"/>
    </sheetView>
  </sheetViews>
  <sheetFormatPr defaultColWidth="9" defaultRowHeight="16.8"/>
  <cols>
    <col min="2" max="2" width="16.25" customWidth="1"/>
    <col min="3" max="3" width="17.25" customWidth="1"/>
    <col min="4" max="4" width="16.375" customWidth="1"/>
    <col min="5" max="5" width="15.375" customWidth="1"/>
    <col min="6" max="6" width="21.375" customWidth="1"/>
    <col min="7" max="7" width="18.25" customWidth="1"/>
    <col min="11" max="11" width="24.5" customWidth="1"/>
    <col min="12" max="12" width="18.625" customWidth="1"/>
  </cols>
  <sheetData>
    <row r="1" ht="33" customHeight="1" spans="1:12">
      <c r="A1" s="1" t="s">
        <v>180</v>
      </c>
      <c r="B1" s="2"/>
      <c r="C1" s="2"/>
      <c r="D1" s="2"/>
      <c r="E1" s="2"/>
      <c r="F1" s="2"/>
      <c r="G1" s="2"/>
      <c r="H1" s="2"/>
      <c r="I1" s="2"/>
      <c r="J1" s="2"/>
      <c r="K1" s="2"/>
      <c r="L1" s="8"/>
    </row>
    <row r="2" ht="29" customHeight="1" spans="1:12">
      <c r="A2" s="3" t="s">
        <v>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6" t="s">
        <v>21</v>
      </c>
      <c r="H2" s="7" t="s">
        <v>22</v>
      </c>
      <c r="I2" s="3"/>
      <c r="J2" s="3"/>
      <c r="K2" s="6" t="s">
        <v>23</v>
      </c>
      <c r="L2" s="3" t="s">
        <v>24</v>
      </c>
    </row>
    <row r="3" ht="18" customHeight="1" spans="1:12">
      <c r="A3" s="3">
        <v>1</v>
      </c>
      <c r="B3" s="3" t="s">
        <v>181</v>
      </c>
      <c r="C3" s="3">
        <v>353</v>
      </c>
      <c r="D3" s="3">
        <v>403</v>
      </c>
      <c r="E3" s="3">
        <v>403</v>
      </c>
      <c r="F3" s="3">
        <v>3</v>
      </c>
      <c r="G3" s="3">
        <f t="shared" ref="G3:G34" si="0">E3*F3</f>
        <v>1209</v>
      </c>
      <c r="H3" s="3" t="s">
        <v>26</v>
      </c>
      <c r="I3" s="3">
        <v>1426</v>
      </c>
      <c r="J3" s="6">
        <v>3</v>
      </c>
      <c r="K3" s="3">
        <f t="shared" ref="K3:K33" si="1">I3*J3</f>
        <v>4278</v>
      </c>
      <c r="L3" s="3">
        <f t="shared" ref="L3:L33" si="2">G3+K3</f>
        <v>5487</v>
      </c>
    </row>
    <row r="4" ht="18" customHeight="1" spans="1:12">
      <c r="A4" s="3">
        <v>2</v>
      </c>
      <c r="B4" s="3" t="s">
        <v>182</v>
      </c>
      <c r="C4" s="3">
        <v>324</v>
      </c>
      <c r="D4" s="3">
        <v>313</v>
      </c>
      <c r="E4" s="3">
        <v>313</v>
      </c>
      <c r="F4" s="4">
        <v>3</v>
      </c>
      <c r="G4" s="3">
        <f t="shared" si="0"/>
        <v>939</v>
      </c>
      <c r="H4" s="3" t="s">
        <v>28</v>
      </c>
      <c r="I4" s="3">
        <v>294</v>
      </c>
      <c r="J4" s="6">
        <v>6</v>
      </c>
      <c r="K4" s="3">
        <f t="shared" si="1"/>
        <v>1764</v>
      </c>
      <c r="L4" s="3">
        <f t="shared" si="2"/>
        <v>2703</v>
      </c>
    </row>
    <row r="5" ht="18" customHeight="1" spans="1:12">
      <c r="A5" s="3">
        <v>3</v>
      </c>
      <c r="B5" s="3" t="s">
        <v>183</v>
      </c>
      <c r="C5" s="3">
        <v>285</v>
      </c>
      <c r="D5" s="3">
        <v>302</v>
      </c>
      <c r="E5" s="3">
        <v>302</v>
      </c>
      <c r="F5" s="4">
        <v>3</v>
      </c>
      <c r="G5" s="3">
        <f t="shared" si="0"/>
        <v>906</v>
      </c>
      <c r="H5" s="3" t="s">
        <v>30</v>
      </c>
      <c r="I5" s="3">
        <v>163</v>
      </c>
      <c r="J5" s="6">
        <v>9</v>
      </c>
      <c r="K5" s="3">
        <f t="shared" si="1"/>
        <v>1467</v>
      </c>
      <c r="L5" s="3">
        <f t="shared" si="2"/>
        <v>2373</v>
      </c>
    </row>
    <row r="6" ht="18" customHeight="1" spans="1:12">
      <c r="A6" s="3">
        <v>4</v>
      </c>
      <c r="B6" s="3" t="s">
        <v>184</v>
      </c>
      <c r="C6" s="3">
        <v>338</v>
      </c>
      <c r="D6" s="3">
        <v>323</v>
      </c>
      <c r="E6" s="3">
        <v>323</v>
      </c>
      <c r="F6" s="4">
        <v>3</v>
      </c>
      <c r="G6" s="3">
        <f t="shared" si="0"/>
        <v>969</v>
      </c>
      <c r="H6" s="3" t="s">
        <v>32</v>
      </c>
      <c r="I6" s="3">
        <v>101</v>
      </c>
      <c r="J6" s="6">
        <v>12</v>
      </c>
      <c r="K6" s="3">
        <f t="shared" si="1"/>
        <v>1212</v>
      </c>
      <c r="L6" s="3">
        <f t="shared" si="2"/>
        <v>2181</v>
      </c>
    </row>
    <row r="7" ht="18" customHeight="1" spans="1:12">
      <c r="A7" s="3">
        <v>5</v>
      </c>
      <c r="B7" s="3" t="s">
        <v>185</v>
      </c>
      <c r="C7" s="3">
        <v>744</v>
      </c>
      <c r="D7" s="3">
        <v>734</v>
      </c>
      <c r="E7" s="3">
        <v>734</v>
      </c>
      <c r="F7" s="4">
        <v>3</v>
      </c>
      <c r="G7" s="3">
        <f t="shared" si="0"/>
        <v>2202</v>
      </c>
      <c r="H7" s="3" t="s">
        <v>34</v>
      </c>
      <c r="I7" s="3">
        <v>65</v>
      </c>
      <c r="J7" s="6">
        <v>15</v>
      </c>
      <c r="K7" s="3">
        <f t="shared" si="1"/>
        <v>975</v>
      </c>
      <c r="L7" s="3">
        <f t="shared" si="2"/>
        <v>3177</v>
      </c>
    </row>
    <row r="8" ht="18" customHeight="1" spans="1:12">
      <c r="A8" s="3">
        <v>6</v>
      </c>
      <c r="B8" s="3" t="s">
        <v>186</v>
      </c>
      <c r="C8" s="4">
        <v>791</v>
      </c>
      <c r="D8" s="4">
        <v>776</v>
      </c>
      <c r="E8" s="4">
        <v>776</v>
      </c>
      <c r="F8" s="4">
        <v>3</v>
      </c>
      <c r="G8" s="3">
        <f t="shared" si="0"/>
        <v>2328</v>
      </c>
      <c r="H8" s="3" t="s">
        <v>36</v>
      </c>
      <c r="I8" s="3">
        <v>29</v>
      </c>
      <c r="J8" s="6">
        <v>18</v>
      </c>
      <c r="K8" s="3">
        <f t="shared" si="1"/>
        <v>522</v>
      </c>
      <c r="L8" s="3">
        <f t="shared" si="2"/>
        <v>2850</v>
      </c>
    </row>
    <row r="9" ht="18" customHeight="1" spans="1:12">
      <c r="A9" s="3">
        <v>7</v>
      </c>
      <c r="B9" s="3" t="s">
        <v>187</v>
      </c>
      <c r="C9" s="4">
        <v>792</v>
      </c>
      <c r="D9" s="4">
        <v>792</v>
      </c>
      <c r="E9" s="4">
        <v>792</v>
      </c>
      <c r="F9" s="4">
        <v>3</v>
      </c>
      <c r="G9" s="3">
        <f t="shared" si="0"/>
        <v>2376</v>
      </c>
      <c r="H9" s="3" t="s">
        <v>38</v>
      </c>
      <c r="I9" s="3">
        <v>21</v>
      </c>
      <c r="J9" s="6">
        <v>21</v>
      </c>
      <c r="K9" s="3">
        <f t="shared" si="1"/>
        <v>441</v>
      </c>
      <c r="L9" s="3">
        <f t="shared" si="2"/>
        <v>2817</v>
      </c>
    </row>
    <row r="10" ht="18" customHeight="1" spans="1:12">
      <c r="A10" s="3">
        <v>8</v>
      </c>
      <c r="B10" s="3" t="s">
        <v>188</v>
      </c>
      <c r="C10" s="4">
        <v>791</v>
      </c>
      <c r="D10" s="4">
        <v>782</v>
      </c>
      <c r="E10" s="4">
        <v>782</v>
      </c>
      <c r="F10" s="4">
        <v>3</v>
      </c>
      <c r="G10" s="3">
        <f t="shared" si="0"/>
        <v>2346</v>
      </c>
      <c r="H10" s="3" t="s">
        <v>40</v>
      </c>
      <c r="I10" s="3">
        <v>18</v>
      </c>
      <c r="J10" s="6">
        <v>24</v>
      </c>
      <c r="K10" s="3">
        <f t="shared" si="1"/>
        <v>432</v>
      </c>
      <c r="L10" s="3">
        <f t="shared" si="2"/>
        <v>2778</v>
      </c>
    </row>
    <row r="11" ht="18" customHeight="1" spans="1:12">
      <c r="A11" s="3">
        <v>9</v>
      </c>
      <c r="B11" s="3" t="s">
        <v>189</v>
      </c>
      <c r="C11" s="4">
        <v>764</v>
      </c>
      <c r="D11" s="4">
        <v>781</v>
      </c>
      <c r="E11" s="4">
        <v>781</v>
      </c>
      <c r="F11" s="4">
        <v>3</v>
      </c>
      <c r="G11" s="3">
        <f t="shared" si="0"/>
        <v>2343</v>
      </c>
      <c r="H11" s="3" t="s">
        <v>42</v>
      </c>
      <c r="I11" s="3">
        <v>8</v>
      </c>
      <c r="J11" s="6">
        <v>27</v>
      </c>
      <c r="K11" s="3">
        <f t="shared" si="1"/>
        <v>216</v>
      </c>
      <c r="L11" s="3">
        <f t="shared" si="2"/>
        <v>2559</v>
      </c>
    </row>
    <row r="12" ht="18" customHeight="1" spans="1:12">
      <c r="A12" s="3">
        <v>10</v>
      </c>
      <c r="B12" s="3" t="s">
        <v>190</v>
      </c>
      <c r="C12" s="4">
        <v>420</v>
      </c>
      <c r="D12" s="4">
        <v>465</v>
      </c>
      <c r="E12" s="4">
        <v>465</v>
      </c>
      <c r="F12" s="4">
        <v>3</v>
      </c>
      <c r="G12" s="3">
        <f t="shared" si="0"/>
        <v>1395</v>
      </c>
      <c r="H12" s="3" t="s">
        <v>44</v>
      </c>
      <c r="I12" s="3">
        <v>9</v>
      </c>
      <c r="J12" s="6">
        <v>30</v>
      </c>
      <c r="K12" s="3">
        <f t="shared" si="1"/>
        <v>270</v>
      </c>
      <c r="L12" s="3">
        <f t="shared" si="2"/>
        <v>1665</v>
      </c>
    </row>
    <row r="13" ht="18" customHeight="1" spans="1:12">
      <c r="A13" s="3">
        <v>11</v>
      </c>
      <c r="B13" s="3" t="s">
        <v>191</v>
      </c>
      <c r="C13" s="4">
        <v>425</v>
      </c>
      <c r="D13" s="4">
        <v>414</v>
      </c>
      <c r="E13" s="4">
        <v>414</v>
      </c>
      <c r="F13" s="4">
        <v>3</v>
      </c>
      <c r="G13" s="3">
        <f t="shared" si="0"/>
        <v>1242</v>
      </c>
      <c r="H13" s="3" t="s">
        <v>46</v>
      </c>
      <c r="I13" s="3">
        <v>6</v>
      </c>
      <c r="J13" s="6">
        <v>33</v>
      </c>
      <c r="K13" s="3">
        <f t="shared" si="1"/>
        <v>198</v>
      </c>
      <c r="L13" s="3">
        <f t="shared" si="2"/>
        <v>1440</v>
      </c>
    </row>
    <row r="14" ht="18" customHeight="1" spans="1:12">
      <c r="A14" s="3">
        <v>12</v>
      </c>
      <c r="B14" s="3" t="s">
        <v>192</v>
      </c>
      <c r="C14" s="4">
        <v>822</v>
      </c>
      <c r="D14" s="4">
        <v>772</v>
      </c>
      <c r="E14" s="4">
        <v>772</v>
      </c>
      <c r="F14" s="4">
        <v>3</v>
      </c>
      <c r="G14" s="3">
        <f t="shared" si="0"/>
        <v>2316</v>
      </c>
      <c r="H14" s="3" t="s">
        <v>48</v>
      </c>
      <c r="I14" s="3">
        <v>5</v>
      </c>
      <c r="J14" s="6">
        <v>36</v>
      </c>
      <c r="K14" s="3">
        <f t="shared" si="1"/>
        <v>180</v>
      </c>
      <c r="L14" s="3">
        <f t="shared" si="2"/>
        <v>2496</v>
      </c>
    </row>
    <row r="15" ht="18" customHeight="1" spans="1:12">
      <c r="A15" s="3">
        <v>13</v>
      </c>
      <c r="B15" s="3" t="s">
        <v>193</v>
      </c>
      <c r="C15" s="4">
        <v>808</v>
      </c>
      <c r="D15" s="4">
        <v>831</v>
      </c>
      <c r="E15" s="4">
        <v>831</v>
      </c>
      <c r="F15" s="4">
        <v>3</v>
      </c>
      <c r="G15" s="3">
        <f t="shared" si="0"/>
        <v>2493</v>
      </c>
      <c r="H15" s="3" t="s">
        <v>50</v>
      </c>
      <c r="I15" s="3">
        <v>5</v>
      </c>
      <c r="J15" s="6">
        <v>39</v>
      </c>
      <c r="K15" s="3">
        <f t="shared" si="1"/>
        <v>195</v>
      </c>
      <c r="L15" s="3">
        <f t="shared" si="2"/>
        <v>2688</v>
      </c>
    </row>
    <row r="16" ht="18" customHeight="1" spans="1:12">
      <c r="A16" s="3">
        <v>14</v>
      </c>
      <c r="B16" s="3" t="s">
        <v>194</v>
      </c>
      <c r="C16" s="4">
        <v>809</v>
      </c>
      <c r="D16" s="4">
        <v>802</v>
      </c>
      <c r="E16" s="4">
        <v>802</v>
      </c>
      <c r="F16" s="4">
        <v>3</v>
      </c>
      <c r="G16" s="3">
        <f t="shared" si="0"/>
        <v>2406</v>
      </c>
      <c r="H16" s="3" t="s">
        <v>52</v>
      </c>
      <c r="I16" s="3">
        <v>4</v>
      </c>
      <c r="J16" s="6">
        <v>42</v>
      </c>
      <c r="K16" s="3">
        <f t="shared" si="1"/>
        <v>168</v>
      </c>
      <c r="L16" s="3">
        <f t="shared" si="2"/>
        <v>2574</v>
      </c>
    </row>
    <row r="17" ht="18" customHeight="1" spans="1:12">
      <c r="A17" s="3">
        <v>15</v>
      </c>
      <c r="B17" s="3" t="s">
        <v>195</v>
      </c>
      <c r="C17" s="4">
        <v>777</v>
      </c>
      <c r="D17" s="4">
        <v>787</v>
      </c>
      <c r="E17" s="4">
        <v>787</v>
      </c>
      <c r="F17" s="4">
        <v>3</v>
      </c>
      <c r="G17" s="3">
        <f t="shared" si="0"/>
        <v>2361</v>
      </c>
      <c r="H17" s="3" t="s">
        <v>54</v>
      </c>
      <c r="I17" s="3">
        <v>5</v>
      </c>
      <c r="J17" s="6">
        <v>45</v>
      </c>
      <c r="K17" s="3">
        <f t="shared" si="1"/>
        <v>225</v>
      </c>
      <c r="L17" s="3">
        <f t="shared" si="2"/>
        <v>2586</v>
      </c>
    </row>
    <row r="18" ht="18" customHeight="1" spans="1:12">
      <c r="A18" s="3">
        <v>16</v>
      </c>
      <c r="B18" s="3" t="s">
        <v>196</v>
      </c>
      <c r="C18" s="4">
        <v>746</v>
      </c>
      <c r="D18" s="4">
        <v>765</v>
      </c>
      <c r="E18" s="4">
        <v>765</v>
      </c>
      <c r="F18" s="4">
        <v>3</v>
      </c>
      <c r="G18" s="3">
        <f t="shared" si="0"/>
        <v>2295</v>
      </c>
      <c r="H18" s="3" t="s">
        <v>56</v>
      </c>
      <c r="I18" s="3">
        <v>1</v>
      </c>
      <c r="J18" s="6">
        <v>48</v>
      </c>
      <c r="K18" s="3">
        <f t="shared" si="1"/>
        <v>48</v>
      </c>
      <c r="L18" s="3">
        <f t="shared" si="2"/>
        <v>2343</v>
      </c>
    </row>
    <row r="19" ht="18" customHeight="1" spans="1:12">
      <c r="A19" s="3">
        <v>17</v>
      </c>
      <c r="B19" s="3" t="s">
        <v>197</v>
      </c>
      <c r="C19" s="4">
        <v>380</v>
      </c>
      <c r="D19" s="4">
        <v>411</v>
      </c>
      <c r="E19" s="4">
        <v>411</v>
      </c>
      <c r="F19" s="4">
        <v>3</v>
      </c>
      <c r="G19" s="3">
        <f t="shared" si="0"/>
        <v>1233</v>
      </c>
      <c r="H19" s="3" t="s">
        <v>58</v>
      </c>
      <c r="I19" s="3">
        <v>5</v>
      </c>
      <c r="J19" s="6">
        <v>51</v>
      </c>
      <c r="K19" s="3">
        <f t="shared" si="1"/>
        <v>255</v>
      </c>
      <c r="L19" s="3">
        <f t="shared" si="2"/>
        <v>1488</v>
      </c>
    </row>
    <row r="20" ht="18" customHeight="1" spans="1:12">
      <c r="A20" s="3">
        <v>18</v>
      </c>
      <c r="B20" s="3" t="s">
        <v>198</v>
      </c>
      <c r="C20" s="4">
        <v>383</v>
      </c>
      <c r="D20" s="4">
        <v>396</v>
      </c>
      <c r="E20" s="4">
        <v>396</v>
      </c>
      <c r="F20" s="4">
        <v>3</v>
      </c>
      <c r="G20" s="3">
        <f t="shared" si="0"/>
        <v>1188</v>
      </c>
      <c r="H20" s="3" t="s">
        <v>60</v>
      </c>
      <c r="I20" s="3">
        <v>0</v>
      </c>
      <c r="J20" s="6">
        <v>54</v>
      </c>
      <c r="K20" s="3">
        <f t="shared" si="1"/>
        <v>0</v>
      </c>
      <c r="L20" s="3">
        <f t="shared" si="2"/>
        <v>1188</v>
      </c>
    </row>
    <row r="21" ht="18" customHeight="1" spans="1:12">
      <c r="A21" s="3">
        <v>19</v>
      </c>
      <c r="B21" s="3" t="s">
        <v>199</v>
      </c>
      <c r="C21" s="4">
        <v>812</v>
      </c>
      <c r="D21" s="4">
        <v>783</v>
      </c>
      <c r="E21" s="4">
        <v>783</v>
      </c>
      <c r="F21" s="4">
        <v>3</v>
      </c>
      <c r="G21" s="3">
        <f t="shared" si="0"/>
        <v>2349</v>
      </c>
      <c r="H21" s="3" t="s">
        <v>62</v>
      </c>
      <c r="I21" s="3">
        <v>2</v>
      </c>
      <c r="J21" s="6">
        <v>57</v>
      </c>
      <c r="K21" s="3">
        <f t="shared" si="1"/>
        <v>114</v>
      </c>
      <c r="L21" s="3">
        <f t="shared" si="2"/>
        <v>2463</v>
      </c>
    </row>
    <row r="22" ht="18" customHeight="1" spans="1:12">
      <c r="A22" s="3">
        <v>20</v>
      </c>
      <c r="B22" s="3" t="s">
        <v>200</v>
      </c>
      <c r="C22" s="4">
        <v>789</v>
      </c>
      <c r="D22" s="4">
        <v>840</v>
      </c>
      <c r="E22" s="4">
        <v>840</v>
      </c>
      <c r="F22" s="4">
        <v>3</v>
      </c>
      <c r="G22" s="3">
        <f t="shared" si="0"/>
        <v>2520</v>
      </c>
      <c r="H22" s="3" t="s">
        <v>64</v>
      </c>
      <c r="I22" s="3">
        <v>4</v>
      </c>
      <c r="J22" s="6">
        <v>60</v>
      </c>
      <c r="K22" s="3">
        <f t="shared" si="1"/>
        <v>240</v>
      </c>
      <c r="L22" s="3">
        <f t="shared" si="2"/>
        <v>2760</v>
      </c>
    </row>
    <row r="23" ht="18" customHeight="1" spans="1:12">
      <c r="A23" s="3">
        <v>21</v>
      </c>
      <c r="B23" s="3" t="s">
        <v>201</v>
      </c>
      <c r="C23" s="4">
        <v>807</v>
      </c>
      <c r="D23" s="4">
        <v>790</v>
      </c>
      <c r="E23" s="4">
        <v>790</v>
      </c>
      <c r="F23" s="4">
        <v>3</v>
      </c>
      <c r="G23" s="3">
        <f t="shared" si="0"/>
        <v>2370</v>
      </c>
      <c r="H23" s="3" t="s">
        <v>66</v>
      </c>
      <c r="I23" s="3">
        <v>2</v>
      </c>
      <c r="J23" s="6">
        <v>63</v>
      </c>
      <c r="K23" s="3">
        <f t="shared" si="1"/>
        <v>126</v>
      </c>
      <c r="L23" s="3">
        <f t="shared" si="2"/>
        <v>2496</v>
      </c>
    </row>
    <row r="24" ht="18" customHeight="1" spans="1:12">
      <c r="A24" s="3">
        <v>22</v>
      </c>
      <c r="B24" s="3" t="s">
        <v>202</v>
      </c>
      <c r="C24" s="4">
        <v>840</v>
      </c>
      <c r="D24" s="4">
        <v>864</v>
      </c>
      <c r="E24" s="4">
        <v>864</v>
      </c>
      <c r="F24" s="4">
        <v>3</v>
      </c>
      <c r="G24" s="3">
        <f t="shared" si="0"/>
        <v>2592</v>
      </c>
      <c r="H24" s="3" t="s">
        <v>68</v>
      </c>
      <c r="I24" s="3">
        <v>0</v>
      </c>
      <c r="J24" s="6">
        <v>66</v>
      </c>
      <c r="K24" s="3">
        <f t="shared" si="1"/>
        <v>0</v>
      </c>
      <c r="L24" s="3">
        <f t="shared" si="2"/>
        <v>2592</v>
      </c>
    </row>
    <row r="25" ht="18" customHeight="1" spans="1:12">
      <c r="A25" s="3">
        <v>23</v>
      </c>
      <c r="B25" s="3" t="s">
        <v>203</v>
      </c>
      <c r="C25" s="4">
        <v>792</v>
      </c>
      <c r="D25" s="4">
        <v>800</v>
      </c>
      <c r="E25" s="4">
        <v>800</v>
      </c>
      <c r="F25" s="4">
        <v>3</v>
      </c>
      <c r="G25" s="3">
        <f t="shared" si="0"/>
        <v>2400</v>
      </c>
      <c r="H25" s="3" t="s">
        <v>70</v>
      </c>
      <c r="I25" s="3">
        <v>0</v>
      </c>
      <c r="J25" s="6">
        <v>69</v>
      </c>
      <c r="K25" s="3">
        <f t="shared" si="1"/>
        <v>0</v>
      </c>
      <c r="L25" s="3">
        <f t="shared" si="2"/>
        <v>2400</v>
      </c>
    </row>
    <row r="26" ht="18" customHeight="1" spans="1:12">
      <c r="A26" s="3">
        <v>24</v>
      </c>
      <c r="B26" s="3" t="s">
        <v>204</v>
      </c>
      <c r="C26" s="4">
        <v>426</v>
      </c>
      <c r="D26" s="4">
        <v>457</v>
      </c>
      <c r="E26" s="4">
        <v>457</v>
      </c>
      <c r="F26" s="4">
        <v>3</v>
      </c>
      <c r="G26" s="3">
        <f t="shared" si="0"/>
        <v>1371</v>
      </c>
      <c r="H26" s="3" t="s">
        <v>72</v>
      </c>
      <c r="I26" s="3">
        <v>1</v>
      </c>
      <c r="J26" s="6">
        <v>72</v>
      </c>
      <c r="K26" s="3">
        <f t="shared" si="1"/>
        <v>72</v>
      </c>
      <c r="L26" s="3">
        <f t="shared" si="2"/>
        <v>1443</v>
      </c>
    </row>
    <row r="27" ht="18" customHeight="1" spans="1:12">
      <c r="A27" s="3">
        <v>25</v>
      </c>
      <c r="B27" s="3" t="s">
        <v>205</v>
      </c>
      <c r="C27" s="4">
        <v>385</v>
      </c>
      <c r="D27" s="4">
        <v>375</v>
      </c>
      <c r="E27" s="4">
        <v>375</v>
      </c>
      <c r="F27" s="4">
        <v>3</v>
      </c>
      <c r="G27" s="3">
        <f t="shared" si="0"/>
        <v>1125</v>
      </c>
      <c r="H27" s="3" t="s">
        <v>74</v>
      </c>
      <c r="I27" s="3">
        <v>1</v>
      </c>
      <c r="J27" s="6">
        <v>75</v>
      </c>
      <c r="K27" s="3">
        <f t="shared" si="1"/>
        <v>75</v>
      </c>
      <c r="L27" s="3">
        <f t="shared" si="2"/>
        <v>1200</v>
      </c>
    </row>
    <row r="28" ht="18" customHeight="1" spans="1:12">
      <c r="A28" s="3">
        <v>26</v>
      </c>
      <c r="B28" s="3" t="s">
        <v>206</v>
      </c>
      <c r="C28" s="4">
        <v>814</v>
      </c>
      <c r="D28" s="4">
        <v>808</v>
      </c>
      <c r="E28" s="4">
        <v>808</v>
      </c>
      <c r="F28" s="4">
        <v>3</v>
      </c>
      <c r="G28" s="3">
        <f t="shared" si="0"/>
        <v>2424</v>
      </c>
      <c r="H28" s="3" t="s">
        <v>76</v>
      </c>
      <c r="I28" s="3">
        <v>2</v>
      </c>
      <c r="J28" s="6">
        <v>78</v>
      </c>
      <c r="K28" s="3">
        <f t="shared" si="1"/>
        <v>156</v>
      </c>
      <c r="L28" s="3">
        <f t="shared" si="2"/>
        <v>2580</v>
      </c>
    </row>
    <row r="29" ht="18" customHeight="1" spans="1:12">
      <c r="A29" s="3">
        <v>27</v>
      </c>
      <c r="B29" s="3" t="s">
        <v>207</v>
      </c>
      <c r="C29" s="4">
        <v>787</v>
      </c>
      <c r="D29" s="4">
        <v>794</v>
      </c>
      <c r="E29" s="4">
        <v>794</v>
      </c>
      <c r="F29" s="4">
        <v>3</v>
      </c>
      <c r="G29" s="3">
        <f t="shared" si="0"/>
        <v>2382</v>
      </c>
      <c r="H29" s="3" t="s">
        <v>78</v>
      </c>
      <c r="I29" s="3">
        <v>0</v>
      </c>
      <c r="J29" s="6">
        <v>81</v>
      </c>
      <c r="K29" s="3">
        <f t="shared" si="1"/>
        <v>0</v>
      </c>
      <c r="L29" s="3">
        <f t="shared" si="2"/>
        <v>2382</v>
      </c>
    </row>
    <row r="30" ht="18" customHeight="1" spans="1:12">
      <c r="A30" s="3">
        <v>28</v>
      </c>
      <c r="B30" s="3" t="s">
        <v>208</v>
      </c>
      <c r="C30" s="4">
        <v>799</v>
      </c>
      <c r="D30" s="4">
        <v>825</v>
      </c>
      <c r="E30" s="4">
        <v>825</v>
      </c>
      <c r="F30" s="4">
        <v>3</v>
      </c>
      <c r="G30" s="3">
        <f t="shared" si="0"/>
        <v>2475</v>
      </c>
      <c r="H30" s="3" t="s">
        <v>80</v>
      </c>
      <c r="I30" s="3">
        <v>0</v>
      </c>
      <c r="J30" s="6">
        <v>84</v>
      </c>
      <c r="K30" s="3">
        <f t="shared" si="1"/>
        <v>0</v>
      </c>
      <c r="L30" s="3">
        <f t="shared" si="2"/>
        <v>2475</v>
      </c>
    </row>
    <row r="31" ht="18" customHeight="1" spans="1:12">
      <c r="A31" s="3">
        <v>29</v>
      </c>
      <c r="B31" s="3" t="s">
        <v>209</v>
      </c>
      <c r="C31" s="4">
        <v>800</v>
      </c>
      <c r="D31" s="4">
        <v>767</v>
      </c>
      <c r="E31" s="4">
        <v>767</v>
      </c>
      <c r="F31" s="4">
        <v>3</v>
      </c>
      <c r="G31" s="3">
        <f t="shared" si="0"/>
        <v>2301</v>
      </c>
      <c r="H31" s="3" t="s">
        <v>82</v>
      </c>
      <c r="I31" s="3">
        <v>0</v>
      </c>
      <c r="J31" s="6">
        <v>87</v>
      </c>
      <c r="K31" s="3">
        <f t="shared" si="1"/>
        <v>0</v>
      </c>
      <c r="L31" s="3">
        <f t="shared" si="2"/>
        <v>2301</v>
      </c>
    </row>
    <row r="32" ht="18" customHeight="1" spans="1:12">
      <c r="A32" s="3">
        <v>30</v>
      </c>
      <c r="B32" s="3" t="s">
        <v>210</v>
      </c>
      <c r="C32" s="4">
        <v>741</v>
      </c>
      <c r="D32" s="4">
        <v>797</v>
      </c>
      <c r="E32" s="4">
        <v>797</v>
      </c>
      <c r="F32" s="4">
        <v>3</v>
      </c>
      <c r="G32" s="3">
        <f t="shared" si="0"/>
        <v>2391</v>
      </c>
      <c r="H32" s="3" t="s">
        <v>84</v>
      </c>
      <c r="I32" s="3">
        <v>1</v>
      </c>
      <c r="J32" s="6">
        <v>90</v>
      </c>
      <c r="K32" s="3">
        <f t="shared" si="1"/>
        <v>90</v>
      </c>
      <c r="L32" s="3">
        <f t="shared" si="2"/>
        <v>2481</v>
      </c>
    </row>
    <row r="33" ht="18" customHeight="1" spans="1:12">
      <c r="A33" s="4">
        <v>31</v>
      </c>
      <c r="B33" s="3" t="s">
        <v>211</v>
      </c>
      <c r="C33" s="4">
        <v>334</v>
      </c>
      <c r="D33" s="4">
        <v>367</v>
      </c>
      <c r="E33" s="4">
        <v>367</v>
      </c>
      <c r="F33" s="4">
        <v>3</v>
      </c>
      <c r="G33" s="3">
        <f t="shared" si="0"/>
        <v>1101</v>
      </c>
      <c r="H33" s="3" t="s">
        <v>86</v>
      </c>
      <c r="I33" s="3">
        <v>0</v>
      </c>
      <c r="J33" s="3">
        <v>93</v>
      </c>
      <c r="K33" s="3">
        <f t="shared" si="1"/>
        <v>0</v>
      </c>
      <c r="L33" s="3">
        <f t="shared" si="2"/>
        <v>1101</v>
      </c>
    </row>
    <row r="34" ht="18" customHeight="1" spans="1:12">
      <c r="A34" s="3" t="s">
        <v>87</v>
      </c>
      <c r="B34" s="5"/>
      <c r="C34" s="4">
        <f>SUM(C3:C33)</f>
        <v>19878</v>
      </c>
      <c r="D34" s="4">
        <f>SUM(D3:D33)</f>
        <v>20116</v>
      </c>
      <c r="E34" s="4">
        <f>SUM(E3:E33)</f>
        <v>20116</v>
      </c>
      <c r="F34" s="4">
        <v>3</v>
      </c>
      <c r="G34" s="3">
        <f t="shared" si="0"/>
        <v>60348</v>
      </c>
      <c r="H34" s="4"/>
      <c r="I34" s="4"/>
      <c r="J34" s="5"/>
      <c r="K34" s="3">
        <f>SUM(K3:K33)</f>
        <v>13719</v>
      </c>
      <c r="L34" s="3">
        <f>SUM(L3:L33)</f>
        <v>74067</v>
      </c>
    </row>
  </sheetData>
  <mergeCells count="3">
    <mergeCell ref="A1:L1"/>
    <mergeCell ref="H2:J2"/>
    <mergeCell ref="H34:J34"/>
  </mergeCells>
  <pageMargins left="0.75" right="0.75" top="1" bottom="1" header="0.5" footer="0.5"/>
  <pageSetup paperSize="3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workbookViewId="0">
      <selection activeCell="A3" sqref="A3"/>
    </sheetView>
  </sheetViews>
  <sheetFormatPr defaultColWidth="9" defaultRowHeight="16.8"/>
  <cols>
    <col min="2" max="2" width="13.5" customWidth="1"/>
    <col min="3" max="3" width="16.375" customWidth="1"/>
    <col min="4" max="4" width="17.125" customWidth="1"/>
    <col min="5" max="5" width="19.875" customWidth="1"/>
    <col min="6" max="6" width="19.25" customWidth="1"/>
    <col min="7" max="7" width="19.625" customWidth="1"/>
    <col min="8" max="8" width="12.375" customWidth="1"/>
    <col min="11" max="11" width="22.625" customWidth="1"/>
    <col min="12" max="12" width="18.125" customWidth="1"/>
  </cols>
  <sheetData>
    <row r="1" ht="36" customHeight="1" spans="1:12">
      <c r="A1" s="1" t="s">
        <v>212</v>
      </c>
      <c r="B1" s="2"/>
      <c r="C1" s="2"/>
      <c r="D1" s="2"/>
      <c r="E1" s="2"/>
      <c r="F1" s="2"/>
      <c r="G1" s="2"/>
      <c r="H1" s="2"/>
      <c r="I1" s="2"/>
      <c r="J1" s="2"/>
      <c r="K1" s="2"/>
      <c r="L1" s="8"/>
    </row>
    <row r="2" ht="31" customHeight="1" spans="1:12">
      <c r="A2" s="3" t="s">
        <v>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6" t="s">
        <v>21</v>
      </c>
      <c r="H2" s="7" t="s">
        <v>22</v>
      </c>
      <c r="I2" s="3"/>
      <c r="J2" s="3"/>
      <c r="K2" s="6" t="s">
        <v>23</v>
      </c>
      <c r="L2" s="3" t="s">
        <v>24</v>
      </c>
    </row>
    <row r="3" ht="18" customHeight="1" spans="1:12">
      <c r="A3" s="3">
        <v>1</v>
      </c>
      <c r="B3" s="3" t="s">
        <v>213</v>
      </c>
      <c r="C3" s="3">
        <v>350</v>
      </c>
      <c r="D3" s="3">
        <v>359</v>
      </c>
      <c r="E3" s="3">
        <v>359</v>
      </c>
      <c r="F3" s="3">
        <v>3</v>
      </c>
      <c r="G3" s="3">
        <f t="shared" ref="G3:G34" si="0">E3*F3</f>
        <v>1077</v>
      </c>
      <c r="H3" s="3" t="s">
        <v>26</v>
      </c>
      <c r="I3" s="3">
        <v>1331</v>
      </c>
      <c r="J3" s="6">
        <v>3</v>
      </c>
      <c r="K3" s="3">
        <f t="shared" ref="K3:K33" si="1">I3*J3</f>
        <v>3993</v>
      </c>
      <c r="L3" s="3">
        <f t="shared" ref="L3:L33" si="2">G3+K3</f>
        <v>5070</v>
      </c>
    </row>
    <row r="4" ht="18" customHeight="1" spans="1:12">
      <c r="A4" s="3">
        <v>2</v>
      </c>
      <c r="B4" s="3" t="s">
        <v>214</v>
      </c>
      <c r="C4" s="3">
        <v>378</v>
      </c>
      <c r="D4" s="3">
        <v>343</v>
      </c>
      <c r="E4" s="3">
        <v>343</v>
      </c>
      <c r="F4" s="4">
        <v>3</v>
      </c>
      <c r="G4" s="3">
        <f t="shared" si="0"/>
        <v>1029</v>
      </c>
      <c r="H4" s="3" t="s">
        <v>28</v>
      </c>
      <c r="I4" s="3">
        <v>291</v>
      </c>
      <c r="J4" s="6">
        <v>6</v>
      </c>
      <c r="K4" s="3">
        <f t="shared" si="1"/>
        <v>1746</v>
      </c>
      <c r="L4" s="3">
        <f t="shared" si="2"/>
        <v>2775</v>
      </c>
    </row>
    <row r="5" ht="18" customHeight="1" spans="1:12">
      <c r="A5" s="3">
        <v>3</v>
      </c>
      <c r="B5" s="3" t="s">
        <v>215</v>
      </c>
      <c r="C5" s="3">
        <v>815</v>
      </c>
      <c r="D5" s="3">
        <v>779</v>
      </c>
      <c r="E5" s="3">
        <v>779</v>
      </c>
      <c r="F5" s="4">
        <v>3</v>
      </c>
      <c r="G5" s="3">
        <f t="shared" si="0"/>
        <v>2337</v>
      </c>
      <c r="H5" s="3" t="s">
        <v>30</v>
      </c>
      <c r="I5" s="3">
        <v>157</v>
      </c>
      <c r="J5" s="6">
        <v>9</v>
      </c>
      <c r="K5" s="3">
        <f t="shared" si="1"/>
        <v>1413</v>
      </c>
      <c r="L5" s="3">
        <f t="shared" si="2"/>
        <v>3750</v>
      </c>
    </row>
    <row r="6" ht="18" customHeight="1" spans="1:12">
      <c r="A6" s="3">
        <v>4</v>
      </c>
      <c r="B6" s="3" t="s">
        <v>216</v>
      </c>
      <c r="C6" s="3">
        <v>790</v>
      </c>
      <c r="D6" s="3">
        <v>779</v>
      </c>
      <c r="E6" s="3">
        <v>779</v>
      </c>
      <c r="F6" s="4">
        <v>3</v>
      </c>
      <c r="G6" s="3">
        <f t="shared" si="0"/>
        <v>2337</v>
      </c>
      <c r="H6" s="3" t="s">
        <v>32</v>
      </c>
      <c r="I6" s="3">
        <v>98</v>
      </c>
      <c r="J6" s="6">
        <v>12</v>
      </c>
      <c r="K6" s="3">
        <f t="shared" si="1"/>
        <v>1176</v>
      </c>
      <c r="L6" s="3">
        <f t="shared" si="2"/>
        <v>3513</v>
      </c>
    </row>
    <row r="7" ht="18" customHeight="1" spans="1:12">
      <c r="A7" s="3">
        <v>5</v>
      </c>
      <c r="B7" s="3" t="s">
        <v>217</v>
      </c>
      <c r="C7" s="3">
        <v>799</v>
      </c>
      <c r="D7" s="3">
        <v>780</v>
      </c>
      <c r="E7" s="3">
        <v>780</v>
      </c>
      <c r="F7" s="4">
        <v>3</v>
      </c>
      <c r="G7" s="3">
        <f t="shared" si="0"/>
        <v>2340</v>
      </c>
      <c r="H7" s="3" t="s">
        <v>34</v>
      </c>
      <c r="I7" s="3">
        <v>36</v>
      </c>
      <c r="J7" s="6">
        <v>15</v>
      </c>
      <c r="K7" s="3">
        <f t="shared" si="1"/>
        <v>540</v>
      </c>
      <c r="L7" s="3">
        <f t="shared" si="2"/>
        <v>2880</v>
      </c>
    </row>
    <row r="8" ht="18" customHeight="1" spans="1:12">
      <c r="A8" s="3">
        <v>6</v>
      </c>
      <c r="B8" s="3" t="s">
        <v>218</v>
      </c>
      <c r="C8" s="4">
        <v>807</v>
      </c>
      <c r="D8" s="4">
        <v>819</v>
      </c>
      <c r="E8" s="4">
        <v>819</v>
      </c>
      <c r="F8" s="4">
        <v>3</v>
      </c>
      <c r="G8" s="3">
        <f t="shared" si="0"/>
        <v>2457</v>
      </c>
      <c r="H8" s="3" t="s">
        <v>36</v>
      </c>
      <c r="I8" s="3">
        <v>29</v>
      </c>
      <c r="J8" s="6">
        <v>18</v>
      </c>
      <c r="K8" s="3">
        <f t="shared" si="1"/>
        <v>522</v>
      </c>
      <c r="L8" s="3">
        <f t="shared" si="2"/>
        <v>2979</v>
      </c>
    </row>
    <row r="9" ht="18" customHeight="1" spans="1:12">
      <c r="A9" s="3">
        <v>7</v>
      </c>
      <c r="B9" s="3" t="s">
        <v>219</v>
      </c>
      <c r="C9" s="4">
        <v>407</v>
      </c>
      <c r="D9" s="4">
        <v>430</v>
      </c>
      <c r="E9" s="4">
        <v>430</v>
      </c>
      <c r="F9" s="4">
        <v>3</v>
      </c>
      <c r="G9" s="3">
        <f t="shared" si="0"/>
        <v>1290</v>
      </c>
      <c r="H9" s="3" t="s">
        <v>38</v>
      </c>
      <c r="I9" s="3">
        <v>20</v>
      </c>
      <c r="J9" s="6">
        <v>21</v>
      </c>
      <c r="K9" s="3">
        <f t="shared" si="1"/>
        <v>420</v>
      </c>
      <c r="L9" s="3">
        <f t="shared" si="2"/>
        <v>1710</v>
      </c>
    </row>
    <row r="10" ht="18" customHeight="1" spans="1:12">
      <c r="A10" s="3">
        <v>8</v>
      </c>
      <c r="B10" s="3" t="s">
        <v>220</v>
      </c>
      <c r="C10" s="4">
        <v>387</v>
      </c>
      <c r="D10" s="4">
        <v>389</v>
      </c>
      <c r="E10" s="4">
        <v>389</v>
      </c>
      <c r="F10" s="4">
        <v>3</v>
      </c>
      <c r="G10" s="3">
        <f t="shared" si="0"/>
        <v>1167</v>
      </c>
      <c r="H10" s="3" t="s">
        <v>40</v>
      </c>
      <c r="I10" s="3">
        <v>15</v>
      </c>
      <c r="J10" s="6">
        <v>24</v>
      </c>
      <c r="K10" s="3">
        <f t="shared" si="1"/>
        <v>360</v>
      </c>
      <c r="L10" s="3">
        <f t="shared" si="2"/>
        <v>1527</v>
      </c>
    </row>
    <row r="11" ht="18" customHeight="1" spans="1:12">
      <c r="A11" s="3">
        <v>9</v>
      </c>
      <c r="B11" s="3" t="s">
        <v>221</v>
      </c>
      <c r="C11" s="4">
        <v>840</v>
      </c>
      <c r="D11" s="4">
        <v>802</v>
      </c>
      <c r="E11" s="4">
        <v>802</v>
      </c>
      <c r="F11" s="4">
        <v>3</v>
      </c>
      <c r="G11" s="3">
        <f t="shared" si="0"/>
        <v>2406</v>
      </c>
      <c r="H11" s="3" t="s">
        <v>42</v>
      </c>
      <c r="I11" s="3">
        <v>6</v>
      </c>
      <c r="J11" s="6">
        <v>27</v>
      </c>
      <c r="K11" s="3">
        <f t="shared" si="1"/>
        <v>162</v>
      </c>
      <c r="L11" s="3">
        <f t="shared" si="2"/>
        <v>2568</v>
      </c>
    </row>
    <row r="12" ht="18" customHeight="1" spans="1:12">
      <c r="A12" s="3">
        <v>10</v>
      </c>
      <c r="B12" s="3" t="s">
        <v>222</v>
      </c>
      <c r="C12" s="4">
        <v>795</v>
      </c>
      <c r="D12" s="4">
        <v>807</v>
      </c>
      <c r="E12" s="4">
        <v>807</v>
      </c>
      <c r="F12" s="4">
        <v>3</v>
      </c>
      <c r="G12" s="3">
        <f t="shared" si="0"/>
        <v>2421</v>
      </c>
      <c r="H12" s="3" t="s">
        <v>44</v>
      </c>
      <c r="I12" s="3">
        <v>13</v>
      </c>
      <c r="J12" s="6">
        <v>30</v>
      </c>
      <c r="K12" s="3">
        <f t="shared" si="1"/>
        <v>390</v>
      </c>
      <c r="L12" s="3">
        <f t="shared" si="2"/>
        <v>2811</v>
      </c>
    </row>
    <row r="13" ht="18" customHeight="1" spans="1:12">
      <c r="A13" s="3">
        <v>11</v>
      </c>
      <c r="B13" s="3" t="s">
        <v>223</v>
      </c>
      <c r="C13" s="4">
        <v>803</v>
      </c>
      <c r="D13" s="4">
        <v>820</v>
      </c>
      <c r="E13" s="4">
        <v>820</v>
      </c>
      <c r="F13" s="4">
        <v>3</v>
      </c>
      <c r="G13" s="3">
        <f t="shared" si="0"/>
        <v>2460</v>
      </c>
      <c r="H13" s="3" t="s">
        <v>46</v>
      </c>
      <c r="I13" s="3">
        <v>12</v>
      </c>
      <c r="J13" s="6">
        <v>33</v>
      </c>
      <c r="K13" s="3">
        <f t="shared" si="1"/>
        <v>396</v>
      </c>
      <c r="L13" s="3">
        <f t="shared" si="2"/>
        <v>2856</v>
      </c>
    </row>
    <row r="14" ht="18" customHeight="1" spans="1:12">
      <c r="A14" s="3">
        <v>12</v>
      </c>
      <c r="B14" s="3" t="s">
        <v>224</v>
      </c>
      <c r="C14" s="4">
        <v>806</v>
      </c>
      <c r="D14" s="4">
        <v>804</v>
      </c>
      <c r="E14" s="4">
        <v>804</v>
      </c>
      <c r="F14" s="4">
        <v>3</v>
      </c>
      <c r="G14" s="3">
        <f t="shared" si="0"/>
        <v>2412</v>
      </c>
      <c r="H14" s="3" t="s">
        <v>48</v>
      </c>
      <c r="I14" s="3">
        <v>11</v>
      </c>
      <c r="J14" s="6">
        <v>36</v>
      </c>
      <c r="K14" s="3">
        <f t="shared" si="1"/>
        <v>396</v>
      </c>
      <c r="L14" s="3">
        <f t="shared" si="2"/>
        <v>2808</v>
      </c>
    </row>
    <row r="15" ht="18" customHeight="1" spans="1:12">
      <c r="A15" s="3">
        <v>13</v>
      </c>
      <c r="B15" s="3" t="s">
        <v>225</v>
      </c>
      <c r="C15" s="4">
        <v>800</v>
      </c>
      <c r="D15" s="4">
        <v>815</v>
      </c>
      <c r="E15" s="4">
        <v>815</v>
      </c>
      <c r="F15" s="4">
        <v>3</v>
      </c>
      <c r="G15" s="3">
        <f t="shared" si="0"/>
        <v>2445</v>
      </c>
      <c r="H15" s="3" t="s">
        <v>50</v>
      </c>
      <c r="I15" s="3">
        <v>3</v>
      </c>
      <c r="J15" s="6">
        <v>39</v>
      </c>
      <c r="K15" s="3">
        <f t="shared" si="1"/>
        <v>117</v>
      </c>
      <c r="L15" s="3">
        <f t="shared" si="2"/>
        <v>2562</v>
      </c>
    </row>
    <row r="16" ht="18" customHeight="1" spans="1:12">
      <c r="A16" s="3">
        <v>14</v>
      </c>
      <c r="B16" s="3" t="s">
        <v>226</v>
      </c>
      <c r="C16" s="4">
        <v>406</v>
      </c>
      <c r="D16" s="4">
        <v>445</v>
      </c>
      <c r="E16" s="4">
        <v>445</v>
      </c>
      <c r="F16" s="4">
        <v>3</v>
      </c>
      <c r="G16" s="3">
        <f t="shared" si="0"/>
        <v>1335</v>
      </c>
      <c r="H16" s="3" t="s">
        <v>52</v>
      </c>
      <c r="I16" s="3">
        <v>5</v>
      </c>
      <c r="J16" s="6">
        <v>42</v>
      </c>
      <c r="K16" s="3">
        <f t="shared" si="1"/>
        <v>210</v>
      </c>
      <c r="L16" s="3">
        <f t="shared" si="2"/>
        <v>1545</v>
      </c>
    </row>
    <row r="17" ht="18" customHeight="1" spans="1:12">
      <c r="A17" s="3">
        <v>15</v>
      </c>
      <c r="B17" s="3" t="s">
        <v>227</v>
      </c>
      <c r="C17" s="4">
        <v>404</v>
      </c>
      <c r="D17" s="4">
        <v>396</v>
      </c>
      <c r="E17" s="4">
        <v>396</v>
      </c>
      <c r="F17" s="4">
        <v>3</v>
      </c>
      <c r="G17" s="3">
        <f t="shared" si="0"/>
        <v>1188</v>
      </c>
      <c r="H17" s="3" t="s">
        <v>54</v>
      </c>
      <c r="I17" s="3">
        <v>1</v>
      </c>
      <c r="J17" s="6">
        <v>45</v>
      </c>
      <c r="K17" s="3">
        <f t="shared" si="1"/>
        <v>45</v>
      </c>
      <c r="L17" s="3">
        <f t="shared" si="2"/>
        <v>1233</v>
      </c>
    </row>
    <row r="18" ht="18" customHeight="1" spans="1:12">
      <c r="A18" s="3">
        <v>16</v>
      </c>
      <c r="B18" s="3" t="s">
        <v>228</v>
      </c>
      <c r="C18" s="4">
        <v>819</v>
      </c>
      <c r="D18" s="4">
        <v>793</v>
      </c>
      <c r="E18" s="4">
        <v>793</v>
      </c>
      <c r="F18" s="4">
        <v>3</v>
      </c>
      <c r="G18" s="3">
        <f t="shared" si="0"/>
        <v>2379</v>
      </c>
      <c r="H18" s="3" t="s">
        <v>56</v>
      </c>
      <c r="I18" s="3">
        <v>2</v>
      </c>
      <c r="J18" s="6">
        <v>48</v>
      </c>
      <c r="K18" s="3">
        <f t="shared" si="1"/>
        <v>96</v>
      </c>
      <c r="L18" s="3">
        <f t="shared" si="2"/>
        <v>2475</v>
      </c>
    </row>
    <row r="19" ht="18" customHeight="1" spans="1:12">
      <c r="A19" s="3">
        <v>17</v>
      </c>
      <c r="B19" s="3" t="s">
        <v>229</v>
      </c>
      <c r="C19" s="4">
        <v>802</v>
      </c>
      <c r="D19" s="4">
        <v>812</v>
      </c>
      <c r="E19" s="4">
        <v>812</v>
      </c>
      <c r="F19" s="4">
        <v>3</v>
      </c>
      <c r="G19" s="3">
        <f t="shared" si="0"/>
        <v>2436</v>
      </c>
      <c r="H19" s="3" t="s">
        <v>58</v>
      </c>
      <c r="I19" s="3">
        <v>1</v>
      </c>
      <c r="J19" s="6">
        <v>51</v>
      </c>
      <c r="K19" s="3">
        <f t="shared" si="1"/>
        <v>51</v>
      </c>
      <c r="L19" s="3">
        <f t="shared" si="2"/>
        <v>2487</v>
      </c>
    </row>
    <row r="20" ht="18" customHeight="1" spans="1:12">
      <c r="A20" s="3">
        <v>18</v>
      </c>
      <c r="B20" s="3" t="s">
        <v>230</v>
      </c>
      <c r="C20" s="4">
        <v>817</v>
      </c>
      <c r="D20" s="4">
        <v>830</v>
      </c>
      <c r="E20" s="4">
        <v>830</v>
      </c>
      <c r="F20" s="4">
        <v>3</v>
      </c>
      <c r="G20" s="3">
        <f t="shared" si="0"/>
        <v>2490</v>
      </c>
      <c r="H20" s="3" t="s">
        <v>60</v>
      </c>
      <c r="I20" s="3">
        <v>2</v>
      </c>
      <c r="J20" s="6">
        <v>54</v>
      </c>
      <c r="K20" s="3">
        <f t="shared" si="1"/>
        <v>108</v>
      </c>
      <c r="L20" s="3">
        <f t="shared" si="2"/>
        <v>2598</v>
      </c>
    </row>
    <row r="21" ht="18" customHeight="1" spans="1:12">
      <c r="A21" s="3">
        <v>19</v>
      </c>
      <c r="B21" s="3" t="s">
        <v>231</v>
      </c>
      <c r="C21" s="4">
        <v>844</v>
      </c>
      <c r="D21" s="4">
        <v>867</v>
      </c>
      <c r="E21" s="4">
        <v>867</v>
      </c>
      <c r="F21" s="4">
        <v>3</v>
      </c>
      <c r="G21" s="3">
        <f t="shared" si="0"/>
        <v>2601</v>
      </c>
      <c r="H21" s="3" t="s">
        <v>62</v>
      </c>
      <c r="I21" s="3">
        <v>4</v>
      </c>
      <c r="J21" s="6">
        <v>57</v>
      </c>
      <c r="K21" s="3">
        <f t="shared" si="1"/>
        <v>228</v>
      </c>
      <c r="L21" s="3">
        <f t="shared" si="2"/>
        <v>2829</v>
      </c>
    </row>
    <row r="22" ht="18" customHeight="1" spans="1:12">
      <c r="A22" s="3">
        <v>20</v>
      </c>
      <c r="B22" s="3" t="s">
        <v>232</v>
      </c>
      <c r="C22" s="4">
        <v>812</v>
      </c>
      <c r="D22" s="4">
        <v>831</v>
      </c>
      <c r="E22" s="4">
        <v>831</v>
      </c>
      <c r="F22" s="4">
        <v>3</v>
      </c>
      <c r="G22" s="3">
        <f t="shared" si="0"/>
        <v>2493</v>
      </c>
      <c r="H22" s="3" t="s">
        <v>64</v>
      </c>
      <c r="I22" s="3">
        <v>3</v>
      </c>
      <c r="J22" s="6">
        <v>60</v>
      </c>
      <c r="K22" s="3">
        <f t="shared" si="1"/>
        <v>180</v>
      </c>
      <c r="L22" s="3">
        <f t="shared" si="2"/>
        <v>2673</v>
      </c>
    </row>
    <row r="23" ht="18" customHeight="1" spans="1:12">
      <c r="A23" s="3">
        <v>21</v>
      </c>
      <c r="B23" s="3" t="s">
        <v>233</v>
      </c>
      <c r="C23" s="4">
        <v>398</v>
      </c>
      <c r="D23" s="4">
        <v>429</v>
      </c>
      <c r="E23" s="4">
        <v>429</v>
      </c>
      <c r="F23" s="4">
        <v>3</v>
      </c>
      <c r="G23" s="3">
        <f t="shared" si="0"/>
        <v>1287</v>
      </c>
      <c r="H23" s="3" t="s">
        <v>66</v>
      </c>
      <c r="I23" s="3">
        <v>1</v>
      </c>
      <c r="J23" s="6">
        <v>63</v>
      </c>
      <c r="K23" s="3">
        <f t="shared" si="1"/>
        <v>63</v>
      </c>
      <c r="L23" s="3">
        <f t="shared" si="2"/>
        <v>1350</v>
      </c>
    </row>
    <row r="24" ht="18" customHeight="1" spans="1:12">
      <c r="A24" s="3">
        <v>22</v>
      </c>
      <c r="B24" s="3" t="s">
        <v>234</v>
      </c>
      <c r="C24" s="4">
        <v>417</v>
      </c>
      <c r="D24" s="4">
        <v>400</v>
      </c>
      <c r="E24" s="4">
        <v>400</v>
      </c>
      <c r="F24" s="4">
        <v>3</v>
      </c>
      <c r="G24" s="3">
        <f t="shared" si="0"/>
        <v>1200</v>
      </c>
      <c r="H24" s="3" t="s">
        <v>68</v>
      </c>
      <c r="I24" s="3">
        <v>3</v>
      </c>
      <c r="J24" s="6">
        <v>66</v>
      </c>
      <c r="K24" s="3">
        <f t="shared" si="1"/>
        <v>198</v>
      </c>
      <c r="L24" s="3">
        <f t="shared" si="2"/>
        <v>1398</v>
      </c>
    </row>
    <row r="25" ht="18" customHeight="1" spans="1:12">
      <c r="A25" s="3">
        <v>23</v>
      </c>
      <c r="B25" s="3" t="s">
        <v>235</v>
      </c>
      <c r="C25" s="4">
        <v>818</v>
      </c>
      <c r="D25" s="4">
        <v>806</v>
      </c>
      <c r="E25" s="4">
        <v>806</v>
      </c>
      <c r="F25" s="4">
        <v>3</v>
      </c>
      <c r="G25" s="3">
        <f t="shared" si="0"/>
        <v>2418</v>
      </c>
      <c r="H25" s="3" t="s">
        <v>70</v>
      </c>
      <c r="I25" s="3">
        <v>0</v>
      </c>
      <c r="J25" s="6">
        <v>69</v>
      </c>
      <c r="K25" s="3">
        <f t="shared" si="1"/>
        <v>0</v>
      </c>
      <c r="L25" s="3">
        <f t="shared" si="2"/>
        <v>2418</v>
      </c>
    </row>
    <row r="26" ht="18" customHeight="1" spans="1:12">
      <c r="A26" s="3">
        <v>24</v>
      </c>
      <c r="B26" s="3" t="s">
        <v>236</v>
      </c>
      <c r="C26" s="4">
        <v>792</v>
      </c>
      <c r="D26" s="4">
        <v>789</v>
      </c>
      <c r="E26" s="4">
        <v>789</v>
      </c>
      <c r="F26" s="4">
        <v>3</v>
      </c>
      <c r="G26" s="3">
        <f t="shared" si="0"/>
        <v>2367</v>
      </c>
      <c r="H26" s="3" t="s">
        <v>72</v>
      </c>
      <c r="I26" s="3">
        <v>0</v>
      </c>
      <c r="J26" s="6">
        <v>72</v>
      </c>
      <c r="K26" s="3">
        <f t="shared" si="1"/>
        <v>0</v>
      </c>
      <c r="L26" s="3">
        <f t="shared" si="2"/>
        <v>2367</v>
      </c>
    </row>
    <row r="27" ht="18" customHeight="1" spans="1:12">
      <c r="A27" s="3">
        <v>25</v>
      </c>
      <c r="B27" s="3" t="s">
        <v>237</v>
      </c>
      <c r="C27" s="4">
        <v>814</v>
      </c>
      <c r="D27" s="4">
        <v>808</v>
      </c>
      <c r="E27" s="4">
        <v>808</v>
      </c>
      <c r="F27" s="4">
        <v>3</v>
      </c>
      <c r="G27" s="3">
        <f t="shared" si="0"/>
        <v>2424</v>
      </c>
      <c r="H27" s="3" t="s">
        <v>74</v>
      </c>
      <c r="I27" s="3">
        <v>1</v>
      </c>
      <c r="J27" s="6">
        <v>75</v>
      </c>
      <c r="K27" s="3">
        <f t="shared" si="1"/>
        <v>75</v>
      </c>
      <c r="L27" s="3">
        <f t="shared" si="2"/>
        <v>2499</v>
      </c>
    </row>
    <row r="28" ht="18" customHeight="1" spans="1:12">
      <c r="A28" s="3">
        <v>26</v>
      </c>
      <c r="B28" s="3" t="s">
        <v>238</v>
      </c>
      <c r="C28" s="4">
        <v>824</v>
      </c>
      <c r="D28" s="4">
        <v>831</v>
      </c>
      <c r="E28" s="4">
        <v>831</v>
      </c>
      <c r="F28" s="4">
        <v>3</v>
      </c>
      <c r="G28" s="3">
        <f t="shared" si="0"/>
        <v>2493</v>
      </c>
      <c r="H28" s="3" t="s">
        <v>76</v>
      </c>
      <c r="I28" s="3">
        <v>2</v>
      </c>
      <c r="J28" s="6">
        <v>78</v>
      </c>
      <c r="K28" s="3">
        <f t="shared" si="1"/>
        <v>156</v>
      </c>
      <c r="L28" s="3">
        <f t="shared" si="2"/>
        <v>2649</v>
      </c>
    </row>
    <row r="29" ht="18" customHeight="1" spans="1:12">
      <c r="A29" s="3">
        <v>27</v>
      </c>
      <c r="B29" s="3" t="s">
        <v>239</v>
      </c>
      <c r="C29" s="4">
        <v>768</v>
      </c>
      <c r="D29" s="4">
        <v>782</v>
      </c>
      <c r="E29" s="4">
        <v>782</v>
      </c>
      <c r="F29" s="4">
        <v>3</v>
      </c>
      <c r="G29" s="3">
        <f t="shared" si="0"/>
        <v>2346</v>
      </c>
      <c r="H29" s="3" t="s">
        <v>78</v>
      </c>
      <c r="I29" s="3">
        <v>1</v>
      </c>
      <c r="J29" s="6">
        <v>81</v>
      </c>
      <c r="K29" s="3">
        <f t="shared" si="1"/>
        <v>81</v>
      </c>
      <c r="L29" s="3">
        <f t="shared" si="2"/>
        <v>2427</v>
      </c>
    </row>
    <row r="30" ht="18" customHeight="1" spans="1:12">
      <c r="A30" s="3">
        <v>28</v>
      </c>
      <c r="B30" s="3" t="s">
        <v>240</v>
      </c>
      <c r="C30" s="4">
        <v>404</v>
      </c>
      <c r="D30" s="4">
        <v>437</v>
      </c>
      <c r="E30" s="4">
        <v>437</v>
      </c>
      <c r="F30" s="4">
        <v>3</v>
      </c>
      <c r="G30" s="3">
        <f t="shared" si="0"/>
        <v>1311</v>
      </c>
      <c r="H30" s="3" t="s">
        <v>80</v>
      </c>
      <c r="I30" s="3">
        <v>0</v>
      </c>
      <c r="J30" s="6">
        <v>84</v>
      </c>
      <c r="K30" s="3">
        <f t="shared" si="1"/>
        <v>0</v>
      </c>
      <c r="L30" s="3">
        <f t="shared" si="2"/>
        <v>1311</v>
      </c>
    </row>
    <row r="31" ht="18" customHeight="1" spans="1:12">
      <c r="A31" s="3">
        <v>29</v>
      </c>
      <c r="B31" s="3" t="s">
        <v>241</v>
      </c>
      <c r="C31" s="4">
        <v>385</v>
      </c>
      <c r="D31" s="4">
        <v>375</v>
      </c>
      <c r="E31" s="4">
        <v>375</v>
      </c>
      <c r="F31" s="4">
        <v>3</v>
      </c>
      <c r="G31" s="3">
        <f t="shared" si="0"/>
        <v>1125</v>
      </c>
      <c r="H31" s="3" t="s">
        <v>82</v>
      </c>
      <c r="I31" s="3">
        <v>0</v>
      </c>
      <c r="J31" s="6">
        <v>87</v>
      </c>
      <c r="K31" s="3">
        <f t="shared" si="1"/>
        <v>0</v>
      </c>
      <c r="L31" s="3">
        <f t="shared" si="2"/>
        <v>1125</v>
      </c>
    </row>
    <row r="32" ht="18" customHeight="1" spans="1:12">
      <c r="A32" s="3">
        <v>30</v>
      </c>
      <c r="B32" s="3" t="s">
        <v>242</v>
      </c>
      <c r="C32" s="4">
        <v>796</v>
      </c>
      <c r="D32" s="4">
        <v>771</v>
      </c>
      <c r="E32" s="4">
        <v>771</v>
      </c>
      <c r="F32" s="4">
        <v>3</v>
      </c>
      <c r="G32" s="3">
        <f t="shared" si="0"/>
        <v>2313</v>
      </c>
      <c r="H32" s="3" t="s">
        <v>84</v>
      </c>
      <c r="I32" s="3">
        <v>0</v>
      </c>
      <c r="J32" s="6">
        <v>90</v>
      </c>
      <c r="K32" s="3">
        <f t="shared" si="1"/>
        <v>0</v>
      </c>
      <c r="L32" s="3">
        <f t="shared" si="2"/>
        <v>2313</v>
      </c>
    </row>
    <row r="33" ht="18" customHeight="1" spans="1:12">
      <c r="A33" s="3" t="s">
        <v>87</v>
      </c>
      <c r="B33" s="5"/>
      <c r="C33" s="4">
        <f>SUM(C3:C32)</f>
        <v>20097</v>
      </c>
      <c r="D33" s="4">
        <f>SUM(D3:D32)</f>
        <v>20128</v>
      </c>
      <c r="E33" s="4">
        <f>SUM(E3:E32)</f>
        <v>20128</v>
      </c>
      <c r="F33" s="4">
        <v>3</v>
      </c>
      <c r="G33" s="3">
        <f t="shared" si="0"/>
        <v>60384</v>
      </c>
      <c r="H33" s="4"/>
      <c r="I33" s="4"/>
      <c r="J33" s="5"/>
      <c r="K33" s="3">
        <f>SUM(K3:K32)</f>
        <v>13122</v>
      </c>
      <c r="L33" s="3">
        <f>SUM(L3:L32)</f>
        <v>73506</v>
      </c>
    </row>
  </sheetData>
  <mergeCells count="3">
    <mergeCell ref="A1:L1"/>
    <mergeCell ref="H2:J2"/>
    <mergeCell ref="H33:J33"/>
  </mergeCells>
  <pageMargins left="0.75" right="0.75" top="1" bottom="1" header="0.5" footer="0.5"/>
  <pageSetup paperSize="3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workbookViewId="0">
      <selection activeCell="E41" sqref="E41"/>
    </sheetView>
  </sheetViews>
  <sheetFormatPr defaultColWidth="9" defaultRowHeight="16.8"/>
  <cols>
    <col min="2" max="2" width="18" customWidth="1"/>
    <col min="3" max="3" width="18.625" customWidth="1"/>
    <col min="4" max="4" width="18.5" customWidth="1"/>
    <col min="5" max="5" width="18.75" customWidth="1"/>
    <col min="6" max="6" width="22.375" customWidth="1"/>
    <col min="7" max="7" width="20.75" customWidth="1"/>
    <col min="11" max="11" width="20" customWidth="1"/>
    <col min="12" max="12" width="20.25" customWidth="1"/>
  </cols>
  <sheetData>
    <row r="1" ht="34" customHeight="1" spans="1:12">
      <c r="A1" s="1" t="s">
        <v>243</v>
      </c>
      <c r="B1" s="2"/>
      <c r="C1" s="2"/>
      <c r="D1" s="2"/>
      <c r="E1" s="2"/>
      <c r="F1" s="2"/>
      <c r="G1" s="2"/>
      <c r="H1" s="2"/>
      <c r="I1" s="2"/>
      <c r="J1" s="2"/>
      <c r="K1" s="2"/>
      <c r="L1" s="8"/>
    </row>
    <row r="2" ht="27" customHeight="1" spans="1:12">
      <c r="A2" s="3" t="s">
        <v>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6" t="s">
        <v>21</v>
      </c>
      <c r="H2" s="7" t="s">
        <v>22</v>
      </c>
      <c r="I2" s="3"/>
      <c r="J2" s="3"/>
      <c r="K2" s="6" t="s">
        <v>23</v>
      </c>
      <c r="L2" s="3" t="s">
        <v>24</v>
      </c>
    </row>
    <row r="3" ht="18" customHeight="1" spans="1:12">
      <c r="A3" s="3">
        <v>1</v>
      </c>
      <c r="B3" s="3" t="s">
        <v>244</v>
      </c>
      <c r="C3" s="3">
        <v>846</v>
      </c>
      <c r="D3" s="3">
        <v>851</v>
      </c>
      <c r="E3" s="3">
        <v>851</v>
      </c>
      <c r="F3" s="3">
        <v>3</v>
      </c>
      <c r="G3" s="3">
        <f t="shared" ref="G3:G34" si="0">E3*F3</f>
        <v>2553</v>
      </c>
      <c r="H3" s="3" t="s">
        <v>26</v>
      </c>
      <c r="I3" s="3">
        <v>1520</v>
      </c>
      <c r="J3" s="6">
        <v>3</v>
      </c>
      <c r="K3" s="3">
        <f t="shared" ref="K3:K33" si="1">I3*J3</f>
        <v>4560</v>
      </c>
      <c r="L3" s="3">
        <f t="shared" ref="L3:L33" si="2">G3+K3</f>
        <v>7113</v>
      </c>
    </row>
    <row r="4" ht="18" customHeight="1" spans="1:12">
      <c r="A4" s="3">
        <v>2</v>
      </c>
      <c r="B4" s="3" t="s">
        <v>245</v>
      </c>
      <c r="C4" s="3">
        <v>797</v>
      </c>
      <c r="D4" s="3">
        <v>800</v>
      </c>
      <c r="E4" s="3">
        <v>800</v>
      </c>
      <c r="F4" s="4">
        <v>3</v>
      </c>
      <c r="G4" s="3">
        <f t="shared" si="0"/>
        <v>2400</v>
      </c>
      <c r="H4" s="3" t="s">
        <v>28</v>
      </c>
      <c r="I4" s="3">
        <v>321</v>
      </c>
      <c r="J4" s="6">
        <v>6</v>
      </c>
      <c r="K4" s="3">
        <f t="shared" si="1"/>
        <v>1926</v>
      </c>
      <c r="L4" s="3">
        <f t="shared" si="2"/>
        <v>4326</v>
      </c>
    </row>
    <row r="5" ht="18" customHeight="1" spans="1:12">
      <c r="A5" s="3">
        <v>3</v>
      </c>
      <c r="B5" s="3" t="s">
        <v>246</v>
      </c>
      <c r="C5" s="3">
        <v>782</v>
      </c>
      <c r="D5" s="3">
        <v>778</v>
      </c>
      <c r="E5" s="3">
        <v>778</v>
      </c>
      <c r="F5" s="4">
        <v>3</v>
      </c>
      <c r="G5" s="3">
        <f t="shared" si="0"/>
        <v>2334</v>
      </c>
      <c r="H5" s="3" t="s">
        <v>30</v>
      </c>
      <c r="I5" s="3">
        <v>161</v>
      </c>
      <c r="J5" s="6">
        <v>9</v>
      </c>
      <c r="K5" s="3">
        <f t="shared" si="1"/>
        <v>1449</v>
      </c>
      <c r="L5" s="3">
        <f t="shared" si="2"/>
        <v>3783</v>
      </c>
    </row>
    <row r="6" ht="18" customHeight="1" spans="1:12">
      <c r="A6" s="3">
        <v>4</v>
      </c>
      <c r="B6" s="3" t="s">
        <v>247</v>
      </c>
      <c r="C6" s="3">
        <v>677</v>
      </c>
      <c r="D6" s="3">
        <v>678</v>
      </c>
      <c r="E6" s="3">
        <v>678</v>
      </c>
      <c r="F6" s="4">
        <v>3</v>
      </c>
      <c r="G6" s="3">
        <f t="shared" si="0"/>
        <v>2034</v>
      </c>
      <c r="H6" s="3" t="s">
        <v>32</v>
      </c>
      <c r="I6" s="3">
        <v>102</v>
      </c>
      <c r="J6" s="6">
        <v>12</v>
      </c>
      <c r="K6" s="3">
        <f t="shared" si="1"/>
        <v>1224</v>
      </c>
      <c r="L6" s="3">
        <f t="shared" si="2"/>
        <v>3258</v>
      </c>
    </row>
    <row r="7" ht="18" customHeight="1" spans="1:12">
      <c r="A7" s="3">
        <v>5</v>
      </c>
      <c r="B7" s="3" t="s">
        <v>248</v>
      </c>
      <c r="C7" s="3">
        <v>396</v>
      </c>
      <c r="D7" s="3">
        <v>434</v>
      </c>
      <c r="E7" s="3">
        <v>434</v>
      </c>
      <c r="F7" s="4">
        <v>3</v>
      </c>
      <c r="G7" s="3">
        <f t="shared" si="0"/>
        <v>1302</v>
      </c>
      <c r="H7" s="3" t="s">
        <v>34</v>
      </c>
      <c r="I7" s="3">
        <v>59</v>
      </c>
      <c r="J7" s="6">
        <v>15</v>
      </c>
      <c r="K7" s="3">
        <f t="shared" si="1"/>
        <v>885</v>
      </c>
      <c r="L7" s="3">
        <f t="shared" si="2"/>
        <v>2187</v>
      </c>
    </row>
    <row r="8" ht="18" customHeight="1" spans="1:12">
      <c r="A8" s="3">
        <v>6</v>
      </c>
      <c r="B8" s="3" t="s">
        <v>249</v>
      </c>
      <c r="C8" s="4">
        <v>400</v>
      </c>
      <c r="D8" s="4">
        <v>405</v>
      </c>
      <c r="E8" s="4">
        <v>405</v>
      </c>
      <c r="F8" s="4">
        <v>3</v>
      </c>
      <c r="G8" s="3">
        <f t="shared" si="0"/>
        <v>1215</v>
      </c>
      <c r="H8" s="3" t="s">
        <v>36</v>
      </c>
      <c r="I8" s="3">
        <v>35</v>
      </c>
      <c r="J8" s="6">
        <v>18</v>
      </c>
      <c r="K8" s="3">
        <f t="shared" si="1"/>
        <v>630</v>
      </c>
      <c r="L8" s="3">
        <f t="shared" si="2"/>
        <v>1845</v>
      </c>
    </row>
    <row r="9" ht="18" customHeight="1" spans="1:12">
      <c r="A9" s="3">
        <v>7</v>
      </c>
      <c r="B9" s="3" t="s">
        <v>250</v>
      </c>
      <c r="C9" s="4">
        <v>827</v>
      </c>
      <c r="D9" s="4">
        <v>793</v>
      </c>
      <c r="E9" s="4">
        <v>793</v>
      </c>
      <c r="F9" s="4">
        <v>3</v>
      </c>
      <c r="G9" s="3">
        <f t="shared" si="0"/>
        <v>2379</v>
      </c>
      <c r="H9" s="3" t="s">
        <v>38</v>
      </c>
      <c r="I9" s="3">
        <v>22</v>
      </c>
      <c r="J9" s="6">
        <v>21</v>
      </c>
      <c r="K9" s="3">
        <f t="shared" si="1"/>
        <v>462</v>
      </c>
      <c r="L9" s="3">
        <f t="shared" si="2"/>
        <v>2841</v>
      </c>
    </row>
    <row r="10" ht="18" customHeight="1" spans="1:12">
      <c r="A10" s="3">
        <v>8</v>
      </c>
      <c r="B10" s="3" t="s">
        <v>251</v>
      </c>
      <c r="C10" s="4">
        <v>778</v>
      </c>
      <c r="D10" s="4">
        <v>761</v>
      </c>
      <c r="E10" s="4">
        <v>761</v>
      </c>
      <c r="F10" s="4">
        <v>3</v>
      </c>
      <c r="G10" s="3">
        <f t="shared" si="0"/>
        <v>2283</v>
      </c>
      <c r="H10" s="3" t="s">
        <v>40</v>
      </c>
      <c r="I10" s="3">
        <v>21</v>
      </c>
      <c r="J10" s="6">
        <v>24</v>
      </c>
      <c r="K10" s="3">
        <f t="shared" si="1"/>
        <v>504</v>
      </c>
      <c r="L10" s="3">
        <f t="shared" si="2"/>
        <v>2787</v>
      </c>
    </row>
    <row r="11" ht="18" customHeight="1" spans="1:12">
      <c r="A11" s="3">
        <v>9</v>
      </c>
      <c r="B11" s="3" t="s">
        <v>252</v>
      </c>
      <c r="C11" s="4">
        <v>769</v>
      </c>
      <c r="D11" s="4">
        <v>783</v>
      </c>
      <c r="E11" s="4">
        <v>783</v>
      </c>
      <c r="F11" s="4">
        <v>3</v>
      </c>
      <c r="G11" s="3">
        <f t="shared" si="0"/>
        <v>2349</v>
      </c>
      <c r="H11" s="3" t="s">
        <v>42</v>
      </c>
      <c r="I11" s="3">
        <v>12</v>
      </c>
      <c r="J11" s="6">
        <v>27</v>
      </c>
      <c r="K11" s="3">
        <f t="shared" si="1"/>
        <v>324</v>
      </c>
      <c r="L11" s="3">
        <f t="shared" si="2"/>
        <v>2673</v>
      </c>
    </row>
    <row r="12" ht="18" customHeight="1" spans="1:12">
      <c r="A12" s="3">
        <v>10</v>
      </c>
      <c r="B12" s="3" t="s">
        <v>253</v>
      </c>
      <c r="C12" s="4">
        <v>769</v>
      </c>
      <c r="D12" s="4">
        <v>776</v>
      </c>
      <c r="E12" s="4">
        <v>776</v>
      </c>
      <c r="F12" s="4">
        <v>3</v>
      </c>
      <c r="G12" s="3">
        <f t="shared" si="0"/>
        <v>2328</v>
      </c>
      <c r="H12" s="3" t="s">
        <v>44</v>
      </c>
      <c r="I12" s="3">
        <v>9</v>
      </c>
      <c r="J12" s="6">
        <v>30</v>
      </c>
      <c r="K12" s="3">
        <f t="shared" si="1"/>
        <v>270</v>
      </c>
      <c r="L12" s="3">
        <f t="shared" si="2"/>
        <v>2598</v>
      </c>
    </row>
    <row r="13" ht="18" customHeight="1" spans="1:12">
      <c r="A13" s="3">
        <v>11</v>
      </c>
      <c r="B13" s="3" t="s">
        <v>254</v>
      </c>
      <c r="C13" s="4">
        <v>758</v>
      </c>
      <c r="D13" s="4">
        <v>780</v>
      </c>
      <c r="E13" s="4">
        <v>780</v>
      </c>
      <c r="F13" s="4">
        <v>3</v>
      </c>
      <c r="G13" s="3">
        <f t="shared" si="0"/>
        <v>2340</v>
      </c>
      <c r="H13" s="3" t="s">
        <v>46</v>
      </c>
      <c r="I13" s="3">
        <v>11</v>
      </c>
      <c r="J13" s="6">
        <v>33</v>
      </c>
      <c r="K13" s="3">
        <f t="shared" si="1"/>
        <v>363</v>
      </c>
      <c r="L13" s="3">
        <f t="shared" si="2"/>
        <v>2703</v>
      </c>
    </row>
    <row r="14" ht="18" customHeight="1" spans="1:12">
      <c r="A14" s="3">
        <v>12</v>
      </c>
      <c r="B14" s="3" t="s">
        <v>255</v>
      </c>
      <c r="C14" s="4">
        <v>419</v>
      </c>
      <c r="D14" s="4">
        <v>450</v>
      </c>
      <c r="E14" s="4">
        <v>450</v>
      </c>
      <c r="F14" s="4">
        <v>3</v>
      </c>
      <c r="G14" s="3">
        <f t="shared" si="0"/>
        <v>1350</v>
      </c>
      <c r="H14" s="3" t="s">
        <v>48</v>
      </c>
      <c r="I14" s="3">
        <v>7</v>
      </c>
      <c r="J14" s="6">
        <v>36</v>
      </c>
      <c r="K14" s="3">
        <f t="shared" si="1"/>
        <v>252</v>
      </c>
      <c r="L14" s="3">
        <f t="shared" si="2"/>
        <v>1602</v>
      </c>
    </row>
    <row r="15" ht="18" customHeight="1" spans="1:12">
      <c r="A15" s="3">
        <v>13</v>
      </c>
      <c r="B15" s="3" t="s">
        <v>256</v>
      </c>
      <c r="C15" s="4">
        <v>420</v>
      </c>
      <c r="D15" s="4">
        <v>411</v>
      </c>
      <c r="E15" s="4">
        <v>411</v>
      </c>
      <c r="F15" s="4">
        <v>3</v>
      </c>
      <c r="G15" s="3">
        <f t="shared" si="0"/>
        <v>1233</v>
      </c>
      <c r="H15" s="3" t="s">
        <v>50</v>
      </c>
      <c r="I15" s="3">
        <v>8</v>
      </c>
      <c r="J15" s="6">
        <v>39</v>
      </c>
      <c r="K15" s="3">
        <f t="shared" si="1"/>
        <v>312</v>
      </c>
      <c r="L15" s="3">
        <f t="shared" si="2"/>
        <v>1545</v>
      </c>
    </row>
    <row r="16" ht="18" customHeight="1" spans="1:12">
      <c r="A16" s="3">
        <v>14</v>
      </c>
      <c r="B16" s="3" t="s">
        <v>257</v>
      </c>
      <c r="C16" s="4">
        <v>825</v>
      </c>
      <c r="D16" s="4">
        <v>791</v>
      </c>
      <c r="E16" s="4">
        <v>791</v>
      </c>
      <c r="F16" s="4">
        <v>3</v>
      </c>
      <c r="G16" s="3">
        <f t="shared" si="0"/>
        <v>2373</v>
      </c>
      <c r="H16" s="3" t="s">
        <v>52</v>
      </c>
      <c r="I16" s="3">
        <v>3</v>
      </c>
      <c r="J16" s="6">
        <v>42</v>
      </c>
      <c r="K16" s="3">
        <f t="shared" si="1"/>
        <v>126</v>
      </c>
      <c r="L16" s="3">
        <f t="shared" si="2"/>
        <v>2499</v>
      </c>
    </row>
    <row r="17" ht="18" customHeight="1" spans="1:12">
      <c r="A17" s="3">
        <v>15</v>
      </c>
      <c r="B17" s="3" t="s">
        <v>258</v>
      </c>
      <c r="C17" s="4">
        <v>805</v>
      </c>
      <c r="D17" s="4">
        <v>800</v>
      </c>
      <c r="E17" s="4">
        <v>800</v>
      </c>
      <c r="F17" s="4">
        <v>3</v>
      </c>
      <c r="G17" s="3">
        <f t="shared" si="0"/>
        <v>2400</v>
      </c>
      <c r="H17" s="3" t="s">
        <v>54</v>
      </c>
      <c r="I17" s="3">
        <v>8</v>
      </c>
      <c r="J17" s="6">
        <v>45</v>
      </c>
      <c r="K17" s="3">
        <f t="shared" si="1"/>
        <v>360</v>
      </c>
      <c r="L17" s="3">
        <f t="shared" si="2"/>
        <v>2760</v>
      </c>
    </row>
    <row r="18" ht="18" customHeight="1" spans="1:12">
      <c r="A18" s="3">
        <v>16</v>
      </c>
      <c r="B18" s="3" t="s">
        <v>259</v>
      </c>
      <c r="C18" s="4">
        <v>804</v>
      </c>
      <c r="D18" s="4">
        <v>792</v>
      </c>
      <c r="E18" s="4">
        <v>792</v>
      </c>
      <c r="F18" s="4">
        <v>3</v>
      </c>
      <c r="G18" s="3">
        <f t="shared" si="0"/>
        <v>2376</v>
      </c>
      <c r="H18" s="3" t="s">
        <v>56</v>
      </c>
      <c r="I18" s="3">
        <v>3</v>
      </c>
      <c r="J18" s="6">
        <v>48</v>
      </c>
      <c r="K18" s="3">
        <f t="shared" si="1"/>
        <v>144</v>
      </c>
      <c r="L18" s="3">
        <f t="shared" si="2"/>
        <v>2520</v>
      </c>
    </row>
    <row r="19" ht="18" customHeight="1" spans="1:12">
      <c r="A19" s="3">
        <v>17</v>
      </c>
      <c r="B19" s="3" t="s">
        <v>260</v>
      </c>
      <c r="C19" s="4">
        <v>813</v>
      </c>
      <c r="D19" s="4">
        <v>804</v>
      </c>
      <c r="E19" s="4">
        <v>804</v>
      </c>
      <c r="F19" s="4">
        <v>3</v>
      </c>
      <c r="G19" s="3">
        <f t="shared" si="0"/>
        <v>2412</v>
      </c>
      <c r="H19" s="3" t="s">
        <v>58</v>
      </c>
      <c r="I19" s="3">
        <v>1</v>
      </c>
      <c r="J19" s="6">
        <v>51</v>
      </c>
      <c r="K19" s="3">
        <f t="shared" si="1"/>
        <v>51</v>
      </c>
      <c r="L19" s="3">
        <f t="shared" si="2"/>
        <v>2463</v>
      </c>
    </row>
    <row r="20" ht="18" customHeight="1" spans="1:12">
      <c r="A20" s="3">
        <v>18</v>
      </c>
      <c r="B20" s="3" t="s">
        <v>261</v>
      </c>
      <c r="C20" s="4">
        <v>768</v>
      </c>
      <c r="D20" s="4">
        <v>790</v>
      </c>
      <c r="E20" s="4">
        <v>790</v>
      </c>
      <c r="F20" s="4">
        <v>3</v>
      </c>
      <c r="G20" s="3">
        <f t="shared" si="0"/>
        <v>2370</v>
      </c>
      <c r="H20" s="3" t="s">
        <v>60</v>
      </c>
      <c r="I20" s="3">
        <v>2</v>
      </c>
      <c r="J20" s="6">
        <v>54</v>
      </c>
      <c r="K20" s="3">
        <f t="shared" si="1"/>
        <v>108</v>
      </c>
      <c r="L20" s="3">
        <f t="shared" si="2"/>
        <v>2478</v>
      </c>
    </row>
    <row r="21" ht="18" customHeight="1" spans="1:12">
      <c r="A21" s="3">
        <v>19</v>
      </c>
      <c r="B21" s="3" t="s">
        <v>262</v>
      </c>
      <c r="C21" s="4">
        <v>401</v>
      </c>
      <c r="D21" s="4">
        <v>442</v>
      </c>
      <c r="E21" s="4">
        <v>442</v>
      </c>
      <c r="F21" s="4">
        <v>3</v>
      </c>
      <c r="G21" s="3">
        <f t="shared" si="0"/>
        <v>1326</v>
      </c>
      <c r="H21" s="3" t="s">
        <v>62</v>
      </c>
      <c r="I21" s="3">
        <v>1</v>
      </c>
      <c r="J21" s="6">
        <v>57</v>
      </c>
      <c r="K21" s="3">
        <f t="shared" si="1"/>
        <v>57</v>
      </c>
      <c r="L21" s="3">
        <f t="shared" si="2"/>
        <v>1383</v>
      </c>
    </row>
    <row r="22" ht="18" customHeight="1" spans="1:12">
      <c r="A22" s="3">
        <v>20</v>
      </c>
      <c r="B22" s="3" t="s">
        <v>263</v>
      </c>
      <c r="C22" s="4">
        <v>402</v>
      </c>
      <c r="D22" s="4">
        <v>401</v>
      </c>
      <c r="E22" s="4">
        <v>401</v>
      </c>
      <c r="F22" s="4">
        <v>3</v>
      </c>
      <c r="G22" s="3">
        <f t="shared" si="0"/>
        <v>1203</v>
      </c>
      <c r="H22" s="3" t="s">
        <v>64</v>
      </c>
      <c r="I22" s="3">
        <v>3</v>
      </c>
      <c r="J22" s="6">
        <v>60</v>
      </c>
      <c r="K22" s="3">
        <f t="shared" si="1"/>
        <v>180</v>
      </c>
      <c r="L22" s="3">
        <f t="shared" si="2"/>
        <v>1383</v>
      </c>
    </row>
    <row r="23" ht="18" customHeight="1" spans="1:12">
      <c r="A23" s="3">
        <v>21</v>
      </c>
      <c r="B23" s="3" t="s">
        <v>264</v>
      </c>
      <c r="C23" s="4">
        <v>825</v>
      </c>
      <c r="D23" s="4">
        <v>797</v>
      </c>
      <c r="E23" s="4">
        <v>797</v>
      </c>
      <c r="F23" s="4">
        <v>3</v>
      </c>
      <c r="G23" s="3">
        <f t="shared" si="0"/>
        <v>2391</v>
      </c>
      <c r="H23" s="3" t="s">
        <v>66</v>
      </c>
      <c r="I23" s="3">
        <v>1</v>
      </c>
      <c r="J23" s="6">
        <v>63</v>
      </c>
      <c r="K23" s="3">
        <f t="shared" si="1"/>
        <v>63</v>
      </c>
      <c r="L23" s="3">
        <f t="shared" si="2"/>
        <v>2454</v>
      </c>
    </row>
    <row r="24" ht="18" customHeight="1" spans="1:12">
      <c r="A24" s="3">
        <v>22</v>
      </c>
      <c r="B24" s="3" t="s">
        <v>265</v>
      </c>
      <c r="C24" s="4">
        <v>852</v>
      </c>
      <c r="D24" s="4">
        <v>845</v>
      </c>
      <c r="E24" s="4">
        <v>845</v>
      </c>
      <c r="F24" s="4">
        <v>3</v>
      </c>
      <c r="G24" s="3">
        <f t="shared" si="0"/>
        <v>2535</v>
      </c>
      <c r="H24" s="3" t="s">
        <v>68</v>
      </c>
      <c r="I24" s="3">
        <v>1</v>
      </c>
      <c r="J24" s="6">
        <v>66</v>
      </c>
      <c r="K24" s="3">
        <f t="shared" si="1"/>
        <v>66</v>
      </c>
      <c r="L24" s="3">
        <f t="shared" si="2"/>
        <v>2601</v>
      </c>
    </row>
    <row r="25" ht="18" customHeight="1" spans="1:12">
      <c r="A25" s="3">
        <v>23</v>
      </c>
      <c r="B25" s="3" t="s">
        <v>266</v>
      </c>
      <c r="C25" s="4">
        <v>881</v>
      </c>
      <c r="D25" s="4">
        <v>855</v>
      </c>
      <c r="E25" s="4">
        <v>855</v>
      </c>
      <c r="F25" s="4">
        <v>3</v>
      </c>
      <c r="G25" s="3">
        <f t="shared" si="0"/>
        <v>2565</v>
      </c>
      <c r="H25" s="3" t="s">
        <v>70</v>
      </c>
      <c r="I25" s="3">
        <v>4</v>
      </c>
      <c r="J25" s="6">
        <v>69</v>
      </c>
      <c r="K25" s="3">
        <f t="shared" si="1"/>
        <v>276</v>
      </c>
      <c r="L25" s="3">
        <f t="shared" si="2"/>
        <v>2841</v>
      </c>
    </row>
    <row r="26" ht="18" customHeight="1" spans="1:12">
      <c r="A26" s="3">
        <v>24</v>
      </c>
      <c r="B26" s="3" t="s">
        <v>267</v>
      </c>
      <c r="C26" s="4">
        <v>821</v>
      </c>
      <c r="D26" s="4">
        <v>846</v>
      </c>
      <c r="E26" s="4">
        <v>846</v>
      </c>
      <c r="F26" s="4">
        <v>3</v>
      </c>
      <c r="G26" s="3">
        <f t="shared" si="0"/>
        <v>2538</v>
      </c>
      <c r="H26" s="3" t="s">
        <v>72</v>
      </c>
      <c r="I26" s="3">
        <v>0</v>
      </c>
      <c r="J26" s="6">
        <v>72</v>
      </c>
      <c r="K26" s="3">
        <f t="shared" si="1"/>
        <v>0</v>
      </c>
      <c r="L26" s="3">
        <f t="shared" si="2"/>
        <v>2538</v>
      </c>
    </row>
    <row r="27" ht="18" customHeight="1" spans="1:12">
      <c r="A27" s="3">
        <v>25</v>
      </c>
      <c r="B27" s="3" t="s">
        <v>268</v>
      </c>
      <c r="C27" s="4">
        <v>765</v>
      </c>
      <c r="D27" s="4">
        <v>792</v>
      </c>
      <c r="E27" s="4">
        <v>792</v>
      </c>
      <c r="F27" s="4">
        <v>3</v>
      </c>
      <c r="G27" s="3">
        <f t="shared" si="0"/>
        <v>2376</v>
      </c>
      <c r="H27" s="3" t="s">
        <v>74</v>
      </c>
      <c r="I27" s="3">
        <v>2</v>
      </c>
      <c r="J27" s="6">
        <v>75</v>
      </c>
      <c r="K27" s="3">
        <f t="shared" si="1"/>
        <v>150</v>
      </c>
      <c r="L27" s="3">
        <f t="shared" si="2"/>
        <v>2526</v>
      </c>
    </row>
    <row r="28" ht="18" customHeight="1" spans="1:12">
      <c r="A28" s="3">
        <v>26</v>
      </c>
      <c r="B28" s="3" t="s">
        <v>269</v>
      </c>
      <c r="C28" s="4">
        <v>383</v>
      </c>
      <c r="D28" s="4">
        <v>433</v>
      </c>
      <c r="E28" s="4">
        <v>433</v>
      </c>
      <c r="F28" s="4">
        <v>3</v>
      </c>
      <c r="G28" s="3">
        <f t="shared" si="0"/>
        <v>1299</v>
      </c>
      <c r="H28" s="3" t="s">
        <v>76</v>
      </c>
      <c r="I28" s="3">
        <v>1</v>
      </c>
      <c r="J28" s="6">
        <v>78</v>
      </c>
      <c r="K28" s="3">
        <f t="shared" si="1"/>
        <v>78</v>
      </c>
      <c r="L28" s="3">
        <f t="shared" si="2"/>
        <v>1377</v>
      </c>
    </row>
    <row r="29" ht="18" customHeight="1" spans="1:12">
      <c r="A29" s="3">
        <v>27</v>
      </c>
      <c r="B29" s="3" t="s">
        <v>270</v>
      </c>
      <c r="C29" s="4">
        <v>426</v>
      </c>
      <c r="D29" s="4">
        <v>390</v>
      </c>
      <c r="E29" s="4">
        <v>390</v>
      </c>
      <c r="F29" s="4">
        <v>3</v>
      </c>
      <c r="G29" s="3">
        <f t="shared" si="0"/>
        <v>1170</v>
      </c>
      <c r="H29" s="3" t="s">
        <v>78</v>
      </c>
      <c r="I29" s="3">
        <v>1</v>
      </c>
      <c r="J29" s="6">
        <v>81</v>
      </c>
      <c r="K29" s="3">
        <f t="shared" si="1"/>
        <v>81</v>
      </c>
      <c r="L29" s="3">
        <f t="shared" si="2"/>
        <v>1251</v>
      </c>
    </row>
    <row r="30" ht="18" customHeight="1" spans="1:12">
      <c r="A30" s="3">
        <v>28</v>
      </c>
      <c r="B30" s="3" t="s">
        <v>271</v>
      </c>
      <c r="C30" s="4">
        <v>818</v>
      </c>
      <c r="D30" s="4">
        <v>797</v>
      </c>
      <c r="E30" s="4">
        <v>797</v>
      </c>
      <c r="F30" s="4">
        <v>3</v>
      </c>
      <c r="G30" s="3">
        <f t="shared" si="0"/>
        <v>2391</v>
      </c>
      <c r="H30" s="3" t="s">
        <v>80</v>
      </c>
      <c r="I30" s="3">
        <v>3</v>
      </c>
      <c r="J30" s="6">
        <v>84</v>
      </c>
      <c r="K30" s="3">
        <f t="shared" si="1"/>
        <v>252</v>
      </c>
      <c r="L30" s="3">
        <f t="shared" si="2"/>
        <v>2643</v>
      </c>
    </row>
    <row r="31" ht="18" customHeight="1" spans="1:12">
      <c r="A31" s="3">
        <v>29</v>
      </c>
      <c r="B31" s="3" t="s">
        <v>272</v>
      </c>
      <c r="C31" s="4">
        <v>805</v>
      </c>
      <c r="D31" s="4">
        <v>824</v>
      </c>
      <c r="E31" s="4">
        <v>824</v>
      </c>
      <c r="F31" s="4">
        <v>3</v>
      </c>
      <c r="G31" s="3">
        <f t="shared" si="0"/>
        <v>2472</v>
      </c>
      <c r="H31" s="3" t="s">
        <v>82</v>
      </c>
      <c r="I31" s="3">
        <v>0</v>
      </c>
      <c r="J31" s="6">
        <v>87</v>
      </c>
      <c r="K31" s="3">
        <f t="shared" si="1"/>
        <v>0</v>
      </c>
      <c r="L31" s="3">
        <f t="shared" si="2"/>
        <v>2472</v>
      </c>
    </row>
    <row r="32" ht="18" customHeight="1" spans="1:12">
      <c r="A32" s="3">
        <v>30</v>
      </c>
      <c r="B32" s="3" t="s">
        <v>273</v>
      </c>
      <c r="C32" s="4">
        <v>804</v>
      </c>
      <c r="D32" s="4">
        <v>819</v>
      </c>
      <c r="E32" s="4">
        <v>819</v>
      </c>
      <c r="F32" s="4">
        <v>3</v>
      </c>
      <c r="G32" s="3">
        <f t="shared" si="0"/>
        <v>2457</v>
      </c>
      <c r="H32" s="3" t="s">
        <v>84</v>
      </c>
      <c r="I32" s="3">
        <v>0</v>
      </c>
      <c r="J32" s="6">
        <v>90</v>
      </c>
      <c r="K32" s="3">
        <f t="shared" si="1"/>
        <v>0</v>
      </c>
      <c r="L32" s="3">
        <f t="shared" si="2"/>
        <v>2457</v>
      </c>
    </row>
    <row r="33" ht="18" customHeight="1" spans="1:12">
      <c r="A33" s="4">
        <v>31</v>
      </c>
      <c r="B33" s="3" t="s">
        <v>274</v>
      </c>
      <c r="C33" s="4">
        <v>794</v>
      </c>
      <c r="D33" s="4">
        <v>772</v>
      </c>
      <c r="E33" s="4">
        <v>772</v>
      </c>
      <c r="F33" s="4">
        <v>3</v>
      </c>
      <c r="G33" s="3">
        <f t="shared" si="0"/>
        <v>2316</v>
      </c>
      <c r="H33" s="3" t="s">
        <v>86</v>
      </c>
      <c r="I33" s="3">
        <v>0</v>
      </c>
      <c r="J33" s="3">
        <v>93</v>
      </c>
      <c r="K33" s="3">
        <f t="shared" si="1"/>
        <v>0</v>
      </c>
      <c r="L33" s="3">
        <f t="shared" si="2"/>
        <v>2316</v>
      </c>
    </row>
    <row r="34" ht="18" customHeight="1" spans="1:12">
      <c r="A34" s="3" t="s">
        <v>87</v>
      </c>
      <c r="B34" s="5"/>
      <c r="C34" s="4">
        <f>SUM(C3:C33)</f>
        <v>21630</v>
      </c>
      <c r="D34" s="4">
        <f>SUM(D3:D33)</f>
        <v>21690</v>
      </c>
      <c r="E34" s="4">
        <f>SUM(E3:E33)</f>
        <v>21690</v>
      </c>
      <c r="F34" s="4">
        <v>3</v>
      </c>
      <c r="G34" s="3">
        <f t="shared" si="0"/>
        <v>65070</v>
      </c>
      <c r="H34" s="4"/>
      <c r="I34" s="4"/>
      <c r="J34" s="5"/>
      <c r="K34" s="3">
        <f>SUM(K3:K33)</f>
        <v>15153</v>
      </c>
      <c r="L34" s="3">
        <f>SUM(L3:L33)</f>
        <v>80223</v>
      </c>
    </row>
  </sheetData>
  <mergeCells count="3">
    <mergeCell ref="A1:L1"/>
    <mergeCell ref="H2:J2"/>
    <mergeCell ref="H34:J34"/>
  </mergeCells>
  <pageMargins left="0.75" right="0.75" top="1" bottom="1" header="0.5" footer="0.5"/>
  <pageSetup paperSize="3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workbookViewId="0">
      <selection activeCell="A1" sqref="A1:L1"/>
    </sheetView>
  </sheetViews>
  <sheetFormatPr defaultColWidth="9" defaultRowHeight="16.8"/>
  <cols>
    <col min="2" max="2" width="15.5" customWidth="1"/>
    <col min="3" max="3" width="15.625" customWidth="1"/>
    <col min="4" max="4" width="17" customWidth="1"/>
    <col min="5" max="5" width="17.375" customWidth="1"/>
    <col min="6" max="6" width="22.625" customWidth="1"/>
    <col min="7" max="7" width="19.5" customWidth="1"/>
    <col min="11" max="11" width="22.875" customWidth="1"/>
    <col min="12" max="12" width="21.375" customWidth="1"/>
  </cols>
  <sheetData>
    <row r="1" ht="33" customHeight="1" spans="1:12">
      <c r="A1" s="1" t="s">
        <v>275</v>
      </c>
      <c r="B1" s="2"/>
      <c r="C1" s="2"/>
      <c r="D1" s="2"/>
      <c r="E1" s="2"/>
      <c r="F1" s="2"/>
      <c r="G1" s="2"/>
      <c r="H1" s="2"/>
      <c r="I1" s="2"/>
      <c r="J1" s="2"/>
      <c r="K1" s="2"/>
      <c r="L1" s="8"/>
    </row>
    <row r="2" ht="27" customHeight="1" spans="1:12">
      <c r="A2" s="3" t="s">
        <v>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6" t="s">
        <v>21</v>
      </c>
      <c r="H2" s="7" t="s">
        <v>22</v>
      </c>
      <c r="I2" s="3"/>
      <c r="J2" s="3"/>
      <c r="K2" s="6" t="s">
        <v>23</v>
      </c>
      <c r="L2" s="3" t="s">
        <v>24</v>
      </c>
    </row>
    <row r="3" ht="18" customHeight="1" spans="1:12">
      <c r="A3" s="3">
        <v>1</v>
      </c>
      <c r="B3" s="3" t="s">
        <v>276</v>
      </c>
      <c r="C3" s="3">
        <v>757</v>
      </c>
      <c r="D3" s="3">
        <v>777</v>
      </c>
      <c r="E3" s="3">
        <v>777</v>
      </c>
      <c r="F3" s="3">
        <v>3</v>
      </c>
      <c r="G3" s="3">
        <f t="shared" ref="G3:G34" si="0">E3*F3</f>
        <v>2331</v>
      </c>
      <c r="H3" s="3" t="s">
        <v>26</v>
      </c>
      <c r="I3" s="3">
        <v>1498</v>
      </c>
      <c r="J3" s="6">
        <v>3</v>
      </c>
      <c r="K3" s="3">
        <f t="shared" ref="K3:K33" si="1">I3*J3</f>
        <v>4494</v>
      </c>
      <c r="L3" s="3">
        <f t="shared" ref="L3:L33" si="2">G3+K3</f>
        <v>6825</v>
      </c>
    </row>
    <row r="4" ht="18" customHeight="1" spans="1:12">
      <c r="A4" s="3">
        <v>2</v>
      </c>
      <c r="B4" s="3" t="s">
        <v>277</v>
      </c>
      <c r="C4" s="3">
        <v>397</v>
      </c>
      <c r="D4" s="3">
        <v>434</v>
      </c>
      <c r="E4" s="3">
        <v>434</v>
      </c>
      <c r="F4" s="4">
        <v>3</v>
      </c>
      <c r="G4" s="3">
        <f t="shared" si="0"/>
        <v>1302</v>
      </c>
      <c r="H4" s="3" t="s">
        <v>28</v>
      </c>
      <c r="I4" s="3">
        <v>321</v>
      </c>
      <c r="J4" s="6">
        <v>6</v>
      </c>
      <c r="K4" s="3">
        <f t="shared" si="1"/>
        <v>1926</v>
      </c>
      <c r="L4" s="3">
        <f t="shared" si="2"/>
        <v>3228</v>
      </c>
    </row>
    <row r="5" ht="18" customHeight="1" spans="1:12">
      <c r="A5" s="3">
        <v>3</v>
      </c>
      <c r="B5" s="3" t="s">
        <v>278</v>
      </c>
      <c r="C5" s="3">
        <v>403</v>
      </c>
      <c r="D5" s="3">
        <v>400</v>
      </c>
      <c r="E5" s="3">
        <v>400</v>
      </c>
      <c r="F5" s="4">
        <v>3</v>
      </c>
      <c r="G5" s="3">
        <f t="shared" si="0"/>
        <v>1200</v>
      </c>
      <c r="H5" s="3" t="s">
        <v>30</v>
      </c>
      <c r="I5" s="3">
        <v>196</v>
      </c>
      <c r="J5" s="6">
        <v>9</v>
      </c>
      <c r="K5" s="3">
        <f t="shared" si="1"/>
        <v>1764</v>
      </c>
      <c r="L5" s="3">
        <f t="shared" si="2"/>
        <v>2964</v>
      </c>
    </row>
    <row r="6" ht="18" customHeight="1" spans="1:12">
      <c r="A6" s="3">
        <v>4</v>
      </c>
      <c r="B6" s="3" t="s">
        <v>279</v>
      </c>
      <c r="C6" s="3">
        <v>803</v>
      </c>
      <c r="D6" s="3">
        <v>774</v>
      </c>
      <c r="E6" s="3">
        <v>774</v>
      </c>
      <c r="F6" s="4">
        <v>3</v>
      </c>
      <c r="G6" s="3">
        <f t="shared" si="0"/>
        <v>2322</v>
      </c>
      <c r="H6" s="3" t="s">
        <v>32</v>
      </c>
      <c r="I6" s="3">
        <v>103</v>
      </c>
      <c r="J6" s="6">
        <v>12</v>
      </c>
      <c r="K6" s="3">
        <f t="shared" si="1"/>
        <v>1236</v>
      </c>
      <c r="L6" s="3">
        <f t="shared" si="2"/>
        <v>3558</v>
      </c>
    </row>
    <row r="7" ht="18" customHeight="1" spans="1:12">
      <c r="A7" s="3">
        <v>5</v>
      </c>
      <c r="B7" s="3" t="s">
        <v>280</v>
      </c>
      <c r="C7" s="3">
        <v>806</v>
      </c>
      <c r="D7" s="3">
        <v>793</v>
      </c>
      <c r="E7" s="3">
        <v>793</v>
      </c>
      <c r="F7" s="4">
        <v>3</v>
      </c>
      <c r="G7" s="3">
        <f t="shared" si="0"/>
        <v>2379</v>
      </c>
      <c r="H7" s="3" t="s">
        <v>34</v>
      </c>
      <c r="I7" s="3">
        <v>68</v>
      </c>
      <c r="J7" s="6">
        <v>15</v>
      </c>
      <c r="K7" s="3">
        <f t="shared" si="1"/>
        <v>1020</v>
      </c>
      <c r="L7" s="3">
        <f t="shared" si="2"/>
        <v>3399</v>
      </c>
    </row>
    <row r="8" ht="18" customHeight="1" spans="1:12">
      <c r="A8" s="3">
        <v>6</v>
      </c>
      <c r="B8" s="3" t="s">
        <v>281</v>
      </c>
      <c r="C8" s="4">
        <v>797</v>
      </c>
      <c r="D8" s="4">
        <v>804</v>
      </c>
      <c r="E8" s="4">
        <v>804</v>
      </c>
      <c r="F8" s="4">
        <v>3</v>
      </c>
      <c r="G8" s="3">
        <f t="shared" si="0"/>
        <v>2412</v>
      </c>
      <c r="H8" s="3" t="s">
        <v>36</v>
      </c>
      <c r="I8" s="3">
        <v>41</v>
      </c>
      <c r="J8" s="6">
        <v>18</v>
      </c>
      <c r="K8" s="3">
        <f t="shared" si="1"/>
        <v>738</v>
      </c>
      <c r="L8" s="3">
        <f t="shared" si="2"/>
        <v>3150</v>
      </c>
    </row>
    <row r="9" ht="18" customHeight="1" spans="1:12">
      <c r="A9" s="3">
        <v>7</v>
      </c>
      <c r="B9" s="3" t="s">
        <v>282</v>
      </c>
      <c r="C9" s="4">
        <v>759</v>
      </c>
      <c r="D9" s="4">
        <v>777</v>
      </c>
      <c r="E9" s="4">
        <v>777</v>
      </c>
      <c r="F9" s="4">
        <v>3</v>
      </c>
      <c r="G9" s="3">
        <f t="shared" si="0"/>
        <v>2331</v>
      </c>
      <c r="H9" s="3" t="s">
        <v>38</v>
      </c>
      <c r="I9" s="3">
        <v>31</v>
      </c>
      <c r="J9" s="6">
        <v>21</v>
      </c>
      <c r="K9" s="3">
        <f t="shared" si="1"/>
        <v>651</v>
      </c>
      <c r="L9" s="3">
        <f t="shared" si="2"/>
        <v>2982</v>
      </c>
    </row>
    <row r="10" ht="18" customHeight="1" spans="1:12">
      <c r="A10" s="3">
        <v>8</v>
      </c>
      <c r="B10" s="3" t="s">
        <v>283</v>
      </c>
      <c r="C10" s="4">
        <v>748</v>
      </c>
      <c r="D10" s="4">
        <v>774</v>
      </c>
      <c r="E10" s="4">
        <v>774</v>
      </c>
      <c r="F10" s="4">
        <v>3</v>
      </c>
      <c r="G10" s="3">
        <f t="shared" si="0"/>
        <v>2322</v>
      </c>
      <c r="H10" s="3" t="s">
        <v>40</v>
      </c>
      <c r="I10" s="3">
        <v>16</v>
      </c>
      <c r="J10" s="6">
        <v>24</v>
      </c>
      <c r="K10" s="3">
        <f t="shared" si="1"/>
        <v>384</v>
      </c>
      <c r="L10" s="3">
        <f t="shared" si="2"/>
        <v>2706</v>
      </c>
    </row>
    <row r="11" ht="18" customHeight="1" spans="1:12">
      <c r="A11" s="3">
        <v>9</v>
      </c>
      <c r="B11" s="3" t="s">
        <v>284</v>
      </c>
      <c r="C11" s="4">
        <v>411</v>
      </c>
      <c r="D11" s="4">
        <v>431</v>
      </c>
      <c r="E11" s="4">
        <v>431</v>
      </c>
      <c r="F11" s="4">
        <v>3</v>
      </c>
      <c r="G11" s="3">
        <f t="shared" si="0"/>
        <v>1293</v>
      </c>
      <c r="H11" s="3" t="s">
        <v>42</v>
      </c>
      <c r="I11" s="3">
        <v>16</v>
      </c>
      <c r="J11" s="6">
        <v>27</v>
      </c>
      <c r="K11" s="3">
        <f t="shared" si="1"/>
        <v>432</v>
      </c>
      <c r="L11" s="3">
        <f t="shared" si="2"/>
        <v>1725</v>
      </c>
    </row>
    <row r="12" ht="18" customHeight="1" spans="1:12">
      <c r="A12" s="3">
        <v>10</v>
      </c>
      <c r="B12" s="3" t="s">
        <v>285</v>
      </c>
      <c r="C12" s="4">
        <v>411</v>
      </c>
      <c r="D12" s="4">
        <v>406</v>
      </c>
      <c r="E12" s="4">
        <v>406</v>
      </c>
      <c r="F12" s="4">
        <v>3</v>
      </c>
      <c r="G12" s="3">
        <f t="shared" si="0"/>
        <v>1218</v>
      </c>
      <c r="H12" s="3" t="s">
        <v>44</v>
      </c>
      <c r="I12" s="3">
        <v>12</v>
      </c>
      <c r="J12" s="6">
        <v>30</v>
      </c>
      <c r="K12" s="3">
        <f t="shared" si="1"/>
        <v>360</v>
      </c>
      <c r="L12" s="3">
        <f t="shared" si="2"/>
        <v>1578</v>
      </c>
    </row>
    <row r="13" ht="18" customHeight="1" spans="1:12">
      <c r="A13" s="3">
        <v>11</v>
      </c>
      <c r="B13" s="3" t="s">
        <v>286</v>
      </c>
      <c r="C13" s="4">
        <v>793</v>
      </c>
      <c r="D13" s="4">
        <v>758</v>
      </c>
      <c r="E13" s="4">
        <v>758</v>
      </c>
      <c r="F13" s="4">
        <v>3</v>
      </c>
      <c r="G13" s="3">
        <f t="shared" si="0"/>
        <v>2274</v>
      </c>
      <c r="H13" s="3" t="s">
        <v>46</v>
      </c>
      <c r="I13" s="3">
        <v>14</v>
      </c>
      <c r="J13" s="6">
        <v>33</v>
      </c>
      <c r="K13" s="3">
        <f t="shared" si="1"/>
        <v>462</v>
      </c>
      <c r="L13" s="3">
        <f t="shared" si="2"/>
        <v>2736</v>
      </c>
    </row>
    <row r="14" ht="18" customHeight="1" spans="1:12">
      <c r="A14" s="3">
        <v>12</v>
      </c>
      <c r="B14" s="3" t="s">
        <v>287</v>
      </c>
      <c r="C14" s="4">
        <v>770</v>
      </c>
      <c r="D14" s="4">
        <v>761</v>
      </c>
      <c r="E14" s="4">
        <v>761</v>
      </c>
      <c r="F14" s="4">
        <v>3</v>
      </c>
      <c r="G14" s="3">
        <f t="shared" si="0"/>
        <v>2283</v>
      </c>
      <c r="H14" s="3" t="s">
        <v>48</v>
      </c>
      <c r="I14" s="3">
        <v>7</v>
      </c>
      <c r="J14" s="6">
        <v>36</v>
      </c>
      <c r="K14" s="3">
        <f t="shared" si="1"/>
        <v>252</v>
      </c>
      <c r="L14" s="3">
        <f t="shared" si="2"/>
        <v>2535</v>
      </c>
    </row>
    <row r="15" ht="18" customHeight="1" spans="1:12">
      <c r="A15" s="3">
        <v>13</v>
      </c>
      <c r="B15" s="3" t="s">
        <v>288</v>
      </c>
      <c r="C15" s="4">
        <v>764</v>
      </c>
      <c r="D15" s="4">
        <v>774</v>
      </c>
      <c r="E15" s="4">
        <v>774</v>
      </c>
      <c r="F15" s="4">
        <v>3</v>
      </c>
      <c r="G15" s="3">
        <f t="shared" si="0"/>
        <v>2322</v>
      </c>
      <c r="H15" s="3" t="s">
        <v>50</v>
      </c>
      <c r="I15" s="3">
        <v>2</v>
      </c>
      <c r="J15" s="6">
        <v>39</v>
      </c>
      <c r="K15" s="3">
        <f t="shared" si="1"/>
        <v>78</v>
      </c>
      <c r="L15" s="3">
        <f t="shared" si="2"/>
        <v>2400</v>
      </c>
    </row>
    <row r="16" ht="18" customHeight="1" spans="1:12">
      <c r="A16" s="3">
        <v>14</v>
      </c>
      <c r="B16" s="3" t="s">
        <v>289</v>
      </c>
      <c r="C16" s="4">
        <v>749</v>
      </c>
      <c r="D16" s="4">
        <v>758</v>
      </c>
      <c r="E16" s="4">
        <v>758</v>
      </c>
      <c r="F16" s="4">
        <v>3</v>
      </c>
      <c r="G16" s="3">
        <f t="shared" si="0"/>
        <v>2274</v>
      </c>
      <c r="H16" s="3" t="s">
        <v>52</v>
      </c>
      <c r="I16" s="3">
        <v>2</v>
      </c>
      <c r="J16" s="6">
        <v>42</v>
      </c>
      <c r="K16" s="3">
        <f t="shared" si="1"/>
        <v>84</v>
      </c>
      <c r="L16" s="3">
        <f t="shared" si="2"/>
        <v>2358</v>
      </c>
    </row>
    <row r="17" ht="18" customHeight="1" spans="1:12">
      <c r="A17" s="3">
        <v>15</v>
      </c>
      <c r="B17" s="3" t="s">
        <v>290</v>
      </c>
      <c r="C17" s="4">
        <v>726</v>
      </c>
      <c r="D17" s="4">
        <v>764</v>
      </c>
      <c r="E17" s="4">
        <v>764</v>
      </c>
      <c r="F17" s="4">
        <v>3</v>
      </c>
      <c r="G17" s="3">
        <f t="shared" si="0"/>
        <v>2292</v>
      </c>
      <c r="H17" s="3" t="s">
        <v>54</v>
      </c>
      <c r="I17" s="3">
        <v>4</v>
      </c>
      <c r="J17" s="6">
        <v>45</v>
      </c>
      <c r="K17" s="3">
        <f t="shared" si="1"/>
        <v>180</v>
      </c>
      <c r="L17" s="3">
        <f t="shared" si="2"/>
        <v>2472</v>
      </c>
    </row>
    <row r="18" ht="18" customHeight="1" spans="1:12">
      <c r="A18" s="3">
        <v>16</v>
      </c>
      <c r="B18" s="3" t="s">
        <v>291</v>
      </c>
      <c r="C18" s="4">
        <v>421</v>
      </c>
      <c r="D18" s="4">
        <v>441</v>
      </c>
      <c r="E18" s="4">
        <v>441</v>
      </c>
      <c r="F18" s="4">
        <v>3</v>
      </c>
      <c r="G18" s="3">
        <f t="shared" si="0"/>
        <v>1323</v>
      </c>
      <c r="H18" s="3" t="s">
        <v>56</v>
      </c>
      <c r="I18" s="3">
        <v>1</v>
      </c>
      <c r="J18" s="6">
        <v>48</v>
      </c>
      <c r="K18" s="3">
        <f t="shared" si="1"/>
        <v>48</v>
      </c>
      <c r="L18" s="3">
        <f t="shared" si="2"/>
        <v>1371</v>
      </c>
    </row>
    <row r="19" ht="18" customHeight="1" spans="1:12">
      <c r="A19" s="3">
        <v>17</v>
      </c>
      <c r="B19" s="3" t="s">
        <v>292</v>
      </c>
      <c r="C19" s="4">
        <v>372</v>
      </c>
      <c r="D19" s="4">
        <v>368</v>
      </c>
      <c r="E19" s="4">
        <v>368</v>
      </c>
      <c r="F19" s="4">
        <v>3</v>
      </c>
      <c r="G19" s="3">
        <f t="shared" si="0"/>
        <v>1104</v>
      </c>
      <c r="H19" s="3" t="s">
        <v>58</v>
      </c>
      <c r="I19" s="3">
        <v>5</v>
      </c>
      <c r="J19" s="6">
        <v>51</v>
      </c>
      <c r="K19" s="3">
        <f t="shared" si="1"/>
        <v>255</v>
      </c>
      <c r="L19" s="3">
        <f t="shared" si="2"/>
        <v>1359</v>
      </c>
    </row>
    <row r="20" ht="18" customHeight="1" spans="1:12">
      <c r="A20" s="3">
        <v>18</v>
      </c>
      <c r="B20" s="3" t="s">
        <v>293</v>
      </c>
      <c r="C20" s="4">
        <v>768</v>
      </c>
      <c r="D20" s="4">
        <v>743</v>
      </c>
      <c r="E20" s="4">
        <v>743</v>
      </c>
      <c r="F20" s="4">
        <v>3</v>
      </c>
      <c r="G20" s="3">
        <f t="shared" si="0"/>
        <v>2229</v>
      </c>
      <c r="H20" s="3" t="s">
        <v>60</v>
      </c>
      <c r="I20" s="3">
        <v>3</v>
      </c>
      <c r="J20" s="6">
        <v>54</v>
      </c>
      <c r="K20" s="3">
        <f t="shared" si="1"/>
        <v>162</v>
      </c>
      <c r="L20" s="3">
        <f t="shared" si="2"/>
        <v>2391</v>
      </c>
    </row>
    <row r="21" ht="18" customHeight="1" spans="1:12">
      <c r="A21" s="3">
        <v>19</v>
      </c>
      <c r="B21" s="3" t="s">
        <v>294</v>
      </c>
      <c r="C21" s="4">
        <v>761</v>
      </c>
      <c r="D21" s="4">
        <v>762</v>
      </c>
      <c r="E21" s="4">
        <v>762</v>
      </c>
      <c r="F21" s="4">
        <v>3</v>
      </c>
      <c r="G21" s="3">
        <f t="shared" si="0"/>
        <v>2286</v>
      </c>
      <c r="H21" s="3" t="s">
        <v>62</v>
      </c>
      <c r="I21" s="3">
        <v>4</v>
      </c>
      <c r="J21" s="6">
        <v>57</v>
      </c>
      <c r="K21" s="3">
        <f t="shared" si="1"/>
        <v>228</v>
      </c>
      <c r="L21" s="3">
        <f t="shared" si="2"/>
        <v>2514</v>
      </c>
    </row>
    <row r="22" ht="18" customHeight="1" spans="1:12">
      <c r="A22" s="3">
        <v>20</v>
      </c>
      <c r="B22" s="3" t="s">
        <v>295</v>
      </c>
      <c r="C22" s="4">
        <v>762</v>
      </c>
      <c r="D22" s="4">
        <v>768</v>
      </c>
      <c r="E22" s="4">
        <v>768</v>
      </c>
      <c r="F22" s="4">
        <v>3</v>
      </c>
      <c r="G22" s="3">
        <f t="shared" si="0"/>
        <v>2304</v>
      </c>
      <c r="H22" s="3" t="s">
        <v>64</v>
      </c>
      <c r="I22" s="3">
        <v>4</v>
      </c>
      <c r="J22" s="6">
        <v>60</v>
      </c>
      <c r="K22" s="3">
        <f t="shared" si="1"/>
        <v>240</v>
      </c>
      <c r="L22" s="3">
        <f t="shared" si="2"/>
        <v>2544</v>
      </c>
    </row>
    <row r="23" ht="18" customHeight="1" spans="1:12">
      <c r="A23" s="3">
        <v>21</v>
      </c>
      <c r="B23" s="3" t="s">
        <v>296</v>
      </c>
      <c r="C23" s="4">
        <v>741</v>
      </c>
      <c r="D23" s="4">
        <v>749</v>
      </c>
      <c r="E23" s="4">
        <v>749</v>
      </c>
      <c r="F23" s="4">
        <v>3</v>
      </c>
      <c r="G23" s="3">
        <f t="shared" si="0"/>
        <v>2247</v>
      </c>
      <c r="H23" s="3" t="s">
        <v>66</v>
      </c>
      <c r="I23" s="3">
        <v>5</v>
      </c>
      <c r="J23" s="6">
        <v>63</v>
      </c>
      <c r="K23" s="3">
        <f t="shared" si="1"/>
        <v>315</v>
      </c>
      <c r="L23" s="3">
        <f t="shared" si="2"/>
        <v>2562</v>
      </c>
    </row>
    <row r="24" ht="18" customHeight="1" spans="1:12">
      <c r="A24" s="3">
        <v>22</v>
      </c>
      <c r="B24" s="3" t="s">
        <v>297</v>
      </c>
      <c r="C24" s="4">
        <v>725</v>
      </c>
      <c r="D24" s="4">
        <v>745</v>
      </c>
      <c r="E24" s="4">
        <v>745</v>
      </c>
      <c r="F24" s="4">
        <v>3</v>
      </c>
      <c r="G24" s="3">
        <f t="shared" si="0"/>
        <v>2235</v>
      </c>
      <c r="H24" s="3" t="s">
        <v>68</v>
      </c>
      <c r="I24" s="3">
        <v>2</v>
      </c>
      <c r="J24" s="6">
        <v>66</v>
      </c>
      <c r="K24" s="3">
        <f t="shared" si="1"/>
        <v>132</v>
      </c>
      <c r="L24" s="3">
        <f t="shared" si="2"/>
        <v>2367</v>
      </c>
    </row>
    <row r="25" ht="18" customHeight="1" spans="1:12">
      <c r="A25" s="3">
        <v>23</v>
      </c>
      <c r="B25" s="3" t="s">
        <v>298</v>
      </c>
      <c r="C25" s="4">
        <v>387</v>
      </c>
      <c r="D25" s="4">
        <v>420</v>
      </c>
      <c r="E25" s="4">
        <v>420</v>
      </c>
      <c r="F25" s="4">
        <v>3</v>
      </c>
      <c r="G25" s="3">
        <f t="shared" si="0"/>
        <v>1260</v>
      </c>
      <c r="H25" s="3" t="s">
        <v>70</v>
      </c>
      <c r="I25" s="3">
        <v>0</v>
      </c>
      <c r="J25" s="6">
        <v>69</v>
      </c>
      <c r="K25" s="3">
        <f t="shared" si="1"/>
        <v>0</v>
      </c>
      <c r="L25" s="3">
        <f t="shared" si="2"/>
        <v>1260</v>
      </c>
    </row>
    <row r="26" ht="18" customHeight="1" spans="1:12">
      <c r="A26" s="3">
        <v>24</v>
      </c>
      <c r="B26" s="3" t="s">
        <v>299</v>
      </c>
      <c r="C26" s="4">
        <v>444</v>
      </c>
      <c r="D26" s="4">
        <v>413</v>
      </c>
      <c r="E26" s="4">
        <v>413</v>
      </c>
      <c r="F26" s="4">
        <v>3</v>
      </c>
      <c r="G26" s="3">
        <f t="shared" si="0"/>
        <v>1239</v>
      </c>
      <c r="H26" s="3" t="s">
        <v>72</v>
      </c>
      <c r="I26" s="3">
        <v>0</v>
      </c>
      <c r="J26" s="6">
        <v>72</v>
      </c>
      <c r="K26" s="3">
        <f t="shared" si="1"/>
        <v>0</v>
      </c>
      <c r="L26" s="3">
        <f t="shared" si="2"/>
        <v>1239</v>
      </c>
    </row>
    <row r="27" ht="18" customHeight="1" spans="1:12">
      <c r="A27" s="3">
        <v>25</v>
      </c>
      <c r="B27" s="3" t="s">
        <v>300</v>
      </c>
      <c r="C27" s="4">
        <v>819</v>
      </c>
      <c r="D27" s="4">
        <v>794</v>
      </c>
      <c r="E27" s="4">
        <v>794</v>
      </c>
      <c r="F27" s="4">
        <v>3</v>
      </c>
      <c r="G27" s="3">
        <f t="shared" si="0"/>
        <v>2382</v>
      </c>
      <c r="H27" s="3" t="s">
        <v>74</v>
      </c>
      <c r="I27" s="3">
        <v>1</v>
      </c>
      <c r="J27" s="6">
        <v>75</v>
      </c>
      <c r="K27" s="3">
        <f t="shared" si="1"/>
        <v>75</v>
      </c>
      <c r="L27" s="3">
        <f t="shared" si="2"/>
        <v>2457</v>
      </c>
    </row>
    <row r="28" ht="18" customHeight="1" spans="1:12">
      <c r="A28" s="3">
        <v>26</v>
      </c>
      <c r="B28" s="3" t="s">
        <v>301</v>
      </c>
      <c r="C28" s="4">
        <v>783</v>
      </c>
      <c r="D28" s="4">
        <v>801</v>
      </c>
      <c r="E28" s="4">
        <v>801</v>
      </c>
      <c r="F28" s="4">
        <v>3</v>
      </c>
      <c r="G28" s="3">
        <f t="shared" si="0"/>
        <v>2403</v>
      </c>
      <c r="H28" s="3" t="s">
        <v>76</v>
      </c>
      <c r="I28" s="3">
        <v>0</v>
      </c>
      <c r="J28" s="6">
        <v>78</v>
      </c>
      <c r="K28" s="3">
        <f t="shared" si="1"/>
        <v>0</v>
      </c>
      <c r="L28" s="3">
        <f t="shared" si="2"/>
        <v>2403</v>
      </c>
    </row>
    <row r="29" ht="18" customHeight="1" spans="1:12">
      <c r="A29" s="3">
        <v>27</v>
      </c>
      <c r="B29" s="3" t="s">
        <v>302</v>
      </c>
      <c r="C29" s="4">
        <v>781</v>
      </c>
      <c r="D29" s="4">
        <v>815</v>
      </c>
      <c r="E29" s="4">
        <v>815</v>
      </c>
      <c r="F29" s="4">
        <v>3</v>
      </c>
      <c r="G29" s="3">
        <f t="shared" si="0"/>
        <v>2445</v>
      </c>
      <c r="H29" s="3" t="s">
        <v>78</v>
      </c>
      <c r="I29" s="3">
        <v>0</v>
      </c>
      <c r="J29" s="6">
        <v>81</v>
      </c>
      <c r="K29" s="3">
        <f t="shared" si="1"/>
        <v>0</v>
      </c>
      <c r="L29" s="3">
        <f t="shared" si="2"/>
        <v>2445</v>
      </c>
    </row>
    <row r="30" ht="18" customHeight="1" spans="1:12">
      <c r="A30" s="3">
        <v>28</v>
      </c>
      <c r="B30" s="3" t="s">
        <v>303</v>
      </c>
      <c r="C30" s="4">
        <v>793</v>
      </c>
      <c r="D30" s="4">
        <v>797</v>
      </c>
      <c r="E30" s="4">
        <v>797</v>
      </c>
      <c r="F30" s="4">
        <v>3</v>
      </c>
      <c r="G30" s="3">
        <f t="shared" si="0"/>
        <v>2391</v>
      </c>
      <c r="H30" s="3" t="s">
        <v>80</v>
      </c>
      <c r="I30" s="3">
        <v>0</v>
      </c>
      <c r="J30" s="6">
        <v>84</v>
      </c>
      <c r="K30" s="3">
        <f t="shared" si="1"/>
        <v>0</v>
      </c>
      <c r="L30" s="3">
        <f t="shared" si="2"/>
        <v>2391</v>
      </c>
    </row>
    <row r="31" ht="18" customHeight="1" spans="1:12">
      <c r="A31" s="3">
        <v>29</v>
      </c>
      <c r="B31" s="3" t="s">
        <v>304</v>
      </c>
      <c r="C31" s="4">
        <v>789</v>
      </c>
      <c r="D31" s="4">
        <v>779</v>
      </c>
      <c r="E31" s="4">
        <v>779</v>
      </c>
      <c r="F31" s="4">
        <v>3</v>
      </c>
      <c r="G31" s="3">
        <f t="shared" si="0"/>
        <v>2337</v>
      </c>
      <c r="H31" s="3" t="s">
        <v>82</v>
      </c>
      <c r="I31" s="3">
        <v>0</v>
      </c>
      <c r="J31" s="6">
        <v>87</v>
      </c>
      <c r="K31" s="3">
        <f t="shared" si="1"/>
        <v>0</v>
      </c>
      <c r="L31" s="3">
        <f t="shared" si="2"/>
        <v>2337</v>
      </c>
    </row>
    <row r="32" ht="18" customHeight="1" spans="1:12">
      <c r="A32" s="3">
        <v>30</v>
      </c>
      <c r="B32" s="3" t="s">
        <v>305</v>
      </c>
      <c r="C32" s="4">
        <v>415</v>
      </c>
      <c r="D32" s="4">
        <v>473</v>
      </c>
      <c r="E32" s="4">
        <v>473</v>
      </c>
      <c r="F32" s="4">
        <v>3</v>
      </c>
      <c r="G32" s="3">
        <f t="shared" si="0"/>
        <v>1419</v>
      </c>
      <c r="H32" s="3" t="s">
        <v>84</v>
      </c>
      <c r="I32" s="3">
        <v>1</v>
      </c>
      <c r="J32" s="6">
        <v>90</v>
      </c>
      <c r="K32" s="3">
        <f t="shared" si="1"/>
        <v>90</v>
      </c>
      <c r="L32" s="3">
        <f t="shared" si="2"/>
        <v>1509</v>
      </c>
    </row>
    <row r="33" ht="18" customHeight="1" spans="1:12">
      <c r="A33" s="4">
        <v>31</v>
      </c>
      <c r="B33" s="3" t="s">
        <v>306</v>
      </c>
      <c r="C33" s="4">
        <v>408</v>
      </c>
      <c r="D33" s="4">
        <v>409</v>
      </c>
      <c r="E33" s="4">
        <v>409</v>
      </c>
      <c r="F33" s="4">
        <v>3</v>
      </c>
      <c r="G33" s="3">
        <f t="shared" si="0"/>
        <v>1227</v>
      </c>
      <c r="H33" s="3" t="s">
        <v>86</v>
      </c>
      <c r="I33" s="3">
        <v>0</v>
      </c>
      <c r="J33" s="3">
        <v>93</v>
      </c>
      <c r="K33" s="3">
        <f t="shared" si="1"/>
        <v>0</v>
      </c>
      <c r="L33" s="3">
        <f t="shared" si="2"/>
        <v>1227</v>
      </c>
    </row>
    <row r="34" ht="18" customHeight="1" spans="1:12">
      <c r="A34" s="3" t="s">
        <v>87</v>
      </c>
      <c r="B34" s="5"/>
      <c r="C34" s="4">
        <f>SUM(C3:C33)</f>
        <v>20263</v>
      </c>
      <c r="D34" s="4">
        <f>SUM(D3:D33)</f>
        <v>20462</v>
      </c>
      <c r="E34" s="4">
        <f>SUM(E3:E33)</f>
        <v>20462</v>
      </c>
      <c r="F34" s="4">
        <v>3</v>
      </c>
      <c r="G34" s="3">
        <f t="shared" si="0"/>
        <v>61386</v>
      </c>
      <c r="H34" s="4"/>
      <c r="I34" s="4"/>
      <c r="J34" s="5"/>
      <c r="K34" s="3">
        <f>SUM(K3:K33)</f>
        <v>15606</v>
      </c>
      <c r="L34" s="3">
        <f>SUM(L3:L33)</f>
        <v>76992</v>
      </c>
    </row>
  </sheetData>
  <mergeCells count="3">
    <mergeCell ref="A1:L1"/>
    <mergeCell ref="H2:J2"/>
    <mergeCell ref="H34:J34"/>
  </mergeCells>
  <pageMargins left="0.75" right="0.75" top="1" bottom="1" header="0.5" footer="0.5"/>
  <pageSetup paperSize="3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workbookViewId="0">
      <selection activeCell="A3" sqref="$A3:$XFD33"/>
    </sheetView>
  </sheetViews>
  <sheetFormatPr defaultColWidth="9" defaultRowHeight="16.8"/>
  <cols>
    <col min="2" max="2" width="16.625" customWidth="1"/>
    <col min="3" max="3" width="18" customWidth="1"/>
    <col min="4" max="4" width="17.875" customWidth="1"/>
    <col min="5" max="5" width="19" customWidth="1"/>
    <col min="6" max="6" width="19.625" customWidth="1"/>
    <col min="7" max="7" width="19.25" customWidth="1"/>
    <col min="11" max="11" width="24.125" customWidth="1"/>
    <col min="12" max="12" width="21.25" customWidth="1"/>
  </cols>
  <sheetData>
    <row r="1" ht="33" customHeight="1" spans="1:12">
      <c r="A1" s="1" t="s">
        <v>307</v>
      </c>
      <c r="B1" s="2"/>
      <c r="C1" s="2"/>
      <c r="D1" s="2"/>
      <c r="E1" s="2"/>
      <c r="F1" s="2"/>
      <c r="G1" s="2"/>
      <c r="H1" s="2"/>
      <c r="I1" s="2"/>
      <c r="J1" s="2"/>
      <c r="K1" s="2"/>
      <c r="L1" s="8"/>
    </row>
    <row r="2" ht="24" customHeight="1" spans="1:12">
      <c r="A2" s="3" t="s">
        <v>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6" t="s">
        <v>21</v>
      </c>
      <c r="H2" s="7" t="s">
        <v>22</v>
      </c>
      <c r="I2" s="3"/>
      <c r="J2" s="3"/>
      <c r="K2" s="6" t="s">
        <v>23</v>
      </c>
      <c r="L2" s="3" t="s">
        <v>24</v>
      </c>
    </row>
    <row r="3" ht="18" customHeight="1" spans="1:12">
      <c r="A3" s="3">
        <v>1</v>
      </c>
      <c r="B3" s="3" t="s">
        <v>308</v>
      </c>
      <c r="C3" s="3">
        <v>825</v>
      </c>
      <c r="D3" s="3">
        <v>798</v>
      </c>
      <c r="E3" s="3">
        <v>798</v>
      </c>
      <c r="F3" s="3">
        <v>3</v>
      </c>
      <c r="G3" s="3">
        <f t="shared" ref="G3:G34" si="0">E3*F3</f>
        <v>2394</v>
      </c>
      <c r="H3" s="3" t="s">
        <v>26</v>
      </c>
      <c r="I3" s="3">
        <v>1482</v>
      </c>
      <c r="J3" s="6">
        <v>3</v>
      </c>
      <c r="K3" s="3">
        <f t="shared" ref="K3:K33" si="1">I3*J3</f>
        <v>4446</v>
      </c>
      <c r="L3" s="3">
        <f t="shared" ref="L3:L33" si="2">G3+K3</f>
        <v>6840</v>
      </c>
    </row>
    <row r="4" ht="18" customHeight="1" spans="1:12">
      <c r="A4" s="3">
        <v>2</v>
      </c>
      <c r="B4" s="3" t="s">
        <v>309</v>
      </c>
      <c r="C4" s="3">
        <v>834</v>
      </c>
      <c r="D4" s="3">
        <v>829</v>
      </c>
      <c r="E4" s="3">
        <v>829</v>
      </c>
      <c r="F4" s="4">
        <v>3</v>
      </c>
      <c r="G4" s="3">
        <f t="shared" si="0"/>
        <v>2487</v>
      </c>
      <c r="H4" s="3" t="s">
        <v>28</v>
      </c>
      <c r="I4" s="3">
        <v>324</v>
      </c>
      <c r="J4" s="6">
        <v>6</v>
      </c>
      <c r="K4" s="3">
        <f t="shared" si="1"/>
        <v>1944</v>
      </c>
      <c r="L4" s="3">
        <f t="shared" si="2"/>
        <v>4431</v>
      </c>
    </row>
    <row r="5" ht="18" customHeight="1" spans="1:12">
      <c r="A5" s="3">
        <v>3</v>
      </c>
      <c r="B5" s="3" t="s">
        <v>310</v>
      </c>
      <c r="C5" s="3">
        <v>852</v>
      </c>
      <c r="D5" s="3">
        <v>834</v>
      </c>
      <c r="E5" s="3">
        <v>834</v>
      </c>
      <c r="F5" s="4">
        <v>3</v>
      </c>
      <c r="G5" s="3">
        <f t="shared" si="0"/>
        <v>2502</v>
      </c>
      <c r="H5" s="3" t="s">
        <v>30</v>
      </c>
      <c r="I5" s="3">
        <v>160</v>
      </c>
      <c r="J5" s="6">
        <v>9</v>
      </c>
      <c r="K5" s="3">
        <f t="shared" si="1"/>
        <v>1440</v>
      </c>
      <c r="L5" s="3">
        <f t="shared" si="2"/>
        <v>3942</v>
      </c>
    </row>
    <row r="6" ht="18" customHeight="1" spans="1:12">
      <c r="A6" s="3">
        <v>4</v>
      </c>
      <c r="B6" s="3" t="s">
        <v>311</v>
      </c>
      <c r="C6" s="3">
        <v>874</v>
      </c>
      <c r="D6" s="3">
        <v>882</v>
      </c>
      <c r="E6" s="3">
        <v>882</v>
      </c>
      <c r="F6" s="4">
        <v>3</v>
      </c>
      <c r="G6" s="3">
        <f t="shared" si="0"/>
        <v>2646</v>
      </c>
      <c r="H6" s="3" t="s">
        <v>32</v>
      </c>
      <c r="I6" s="3">
        <v>84</v>
      </c>
      <c r="J6" s="6">
        <v>12</v>
      </c>
      <c r="K6" s="3">
        <f t="shared" si="1"/>
        <v>1008</v>
      </c>
      <c r="L6" s="3">
        <f t="shared" si="2"/>
        <v>3654</v>
      </c>
    </row>
    <row r="7" ht="18" customHeight="1" spans="1:12">
      <c r="A7" s="3">
        <v>5</v>
      </c>
      <c r="B7" s="3" t="s">
        <v>312</v>
      </c>
      <c r="C7" s="3">
        <v>813</v>
      </c>
      <c r="D7" s="3">
        <v>844</v>
      </c>
      <c r="E7" s="3">
        <v>844</v>
      </c>
      <c r="F7" s="4">
        <v>3</v>
      </c>
      <c r="G7" s="3">
        <f t="shared" si="0"/>
        <v>2532</v>
      </c>
      <c r="H7" s="3" t="s">
        <v>34</v>
      </c>
      <c r="I7" s="3">
        <v>47</v>
      </c>
      <c r="J7" s="6">
        <v>15</v>
      </c>
      <c r="K7" s="3">
        <f t="shared" si="1"/>
        <v>705</v>
      </c>
      <c r="L7" s="3">
        <f t="shared" si="2"/>
        <v>3237</v>
      </c>
    </row>
    <row r="8" ht="18" customHeight="1" spans="1:12">
      <c r="A8" s="3">
        <v>6</v>
      </c>
      <c r="B8" s="3" t="s">
        <v>313</v>
      </c>
      <c r="C8" s="4">
        <v>390</v>
      </c>
      <c r="D8" s="4">
        <v>421</v>
      </c>
      <c r="E8" s="4">
        <v>421</v>
      </c>
      <c r="F8" s="4">
        <v>3</v>
      </c>
      <c r="G8" s="3">
        <f t="shared" si="0"/>
        <v>1263</v>
      </c>
      <c r="H8" s="3" t="s">
        <v>36</v>
      </c>
      <c r="I8" s="3">
        <v>33</v>
      </c>
      <c r="J8" s="6">
        <v>18</v>
      </c>
      <c r="K8" s="3">
        <f t="shared" si="1"/>
        <v>594</v>
      </c>
      <c r="L8" s="3">
        <f t="shared" si="2"/>
        <v>1857</v>
      </c>
    </row>
    <row r="9" ht="18" customHeight="1" spans="1:12">
      <c r="A9" s="3">
        <v>7</v>
      </c>
      <c r="B9" s="3" t="s">
        <v>314</v>
      </c>
      <c r="C9" s="4">
        <v>396</v>
      </c>
      <c r="D9" s="4">
        <v>386</v>
      </c>
      <c r="E9" s="4">
        <v>386</v>
      </c>
      <c r="F9" s="4">
        <v>3</v>
      </c>
      <c r="G9" s="3">
        <f t="shared" si="0"/>
        <v>1158</v>
      </c>
      <c r="H9" s="3" t="s">
        <v>38</v>
      </c>
      <c r="I9" s="3">
        <v>15</v>
      </c>
      <c r="J9" s="6">
        <v>21</v>
      </c>
      <c r="K9" s="3">
        <f t="shared" si="1"/>
        <v>315</v>
      </c>
      <c r="L9" s="3">
        <f t="shared" si="2"/>
        <v>1473</v>
      </c>
    </row>
    <row r="10" ht="18" customHeight="1" spans="1:12">
      <c r="A10" s="3">
        <v>8</v>
      </c>
      <c r="B10" s="3" t="s">
        <v>315</v>
      </c>
      <c r="C10" s="4">
        <v>848</v>
      </c>
      <c r="D10" s="4">
        <v>833</v>
      </c>
      <c r="E10" s="4">
        <v>833</v>
      </c>
      <c r="F10" s="4">
        <v>3</v>
      </c>
      <c r="G10" s="3">
        <f t="shared" si="0"/>
        <v>2499</v>
      </c>
      <c r="H10" s="3" t="s">
        <v>40</v>
      </c>
      <c r="I10" s="3">
        <v>9</v>
      </c>
      <c r="J10" s="6">
        <v>24</v>
      </c>
      <c r="K10" s="3">
        <f t="shared" si="1"/>
        <v>216</v>
      </c>
      <c r="L10" s="3">
        <f t="shared" si="2"/>
        <v>2715</v>
      </c>
    </row>
    <row r="11" ht="18" customHeight="1" spans="1:12">
      <c r="A11" s="3">
        <v>9</v>
      </c>
      <c r="B11" s="3" t="s">
        <v>316</v>
      </c>
      <c r="C11" s="4">
        <v>820</v>
      </c>
      <c r="D11" s="4">
        <v>816</v>
      </c>
      <c r="E11" s="4">
        <v>816</v>
      </c>
      <c r="F11" s="4">
        <v>3</v>
      </c>
      <c r="G11" s="3">
        <f t="shared" si="0"/>
        <v>2448</v>
      </c>
      <c r="H11" s="3" t="s">
        <v>42</v>
      </c>
      <c r="I11" s="3">
        <v>6</v>
      </c>
      <c r="J11" s="6">
        <v>27</v>
      </c>
      <c r="K11" s="3">
        <f t="shared" si="1"/>
        <v>162</v>
      </c>
      <c r="L11" s="3">
        <f t="shared" si="2"/>
        <v>2610</v>
      </c>
    </row>
    <row r="12" ht="18" customHeight="1" spans="1:12">
      <c r="A12" s="3">
        <v>10</v>
      </c>
      <c r="B12" s="3" t="s">
        <v>317</v>
      </c>
      <c r="C12" s="4">
        <v>834</v>
      </c>
      <c r="D12" s="4">
        <v>833</v>
      </c>
      <c r="E12" s="4">
        <v>833</v>
      </c>
      <c r="F12" s="4">
        <v>3</v>
      </c>
      <c r="G12" s="3">
        <f t="shared" si="0"/>
        <v>2499</v>
      </c>
      <c r="H12" s="3" t="s">
        <v>44</v>
      </c>
      <c r="I12" s="3">
        <v>10</v>
      </c>
      <c r="J12" s="6">
        <v>30</v>
      </c>
      <c r="K12" s="3">
        <f t="shared" si="1"/>
        <v>300</v>
      </c>
      <c r="L12" s="3">
        <f t="shared" si="2"/>
        <v>2799</v>
      </c>
    </row>
    <row r="13" ht="18" customHeight="1" spans="1:12">
      <c r="A13" s="3">
        <v>11</v>
      </c>
      <c r="B13" s="3" t="s">
        <v>318</v>
      </c>
      <c r="C13" s="4">
        <v>792</v>
      </c>
      <c r="D13" s="4">
        <v>797</v>
      </c>
      <c r="E13" s="4">
        <v>797</v>
      </c>
      <c r="F13" s="4">
        <v>3</v>
      </c>
      <c r="G13" s="3">
        <f t="shared" si="0"/>
        <v>2391</v>
      </c>
      <c r="H13" s="3" t="s">
        <v>46</v>
      </c>
      <c r="I13" s="3">
        <v>7</v>
      </c>
      <c r="J13" s="6">
        <v>33</v>
      </c>
      <c r="K13" s="3">
        <f t="shared" si="1"/>
        <v>231</v>
      </c>
      <c r="L13" s="3">
        <f t="shared" si="2"/>
        <v>2622</v>
      </c>
    </row>
    <row r="14" ht="18" customHeight="1" spans="1:12">
      <c r="A14" s="3">
        <v>12</v>
      </c>
      <c r="B14" s="3" t="s">
        <v>319</v>
      </c>
      <c r="C14" s="4">
        <v>801</v>
      </c>
      <c r="D14" s="4">
        <v>844</v>
      </c>
      <c r="E14" s="4">
        <v>844</v>
      </c>
      <c r="F14" s="4">
        <v>3</v>
      </c>
      <c r="G14" s="3">
        <f t="shared" si="0"/>
        <v>2532</v>
      </c>
      <c r="H14" s="3" t="s">
        <v>48</v>
      </c>
      <c r="I14" s="3">
        <v>6</v>
      </c>
      <c r="J14" s="6">
        <v>36</v>
      </c>
      <c r="K14" s="3">
        <f t="shared" si="1"/>
        <v>216</v>
      </c>
      <c r="L14" s="3">
        <f t="shared" si="2"/>
        <v>2748</v>
      </c>
    </row>
    <row r="15" ht="18" customHeight="1" spans="1:12">
      <c r="A15" s="3">
        <v>13</v>
      </c>
      <c r="B15" s="3" t="s">
        <v>320</v>
      </c>
      <c r="C15" s="4">
        <v>424</v>
      </c>
      <c r="D15" s="4">
        <v>445</v>
      </c>
      <c r="E15" s="4">
        <v>445</v>
      </c>
      <c r="F15" s="4">
        <v>3</v>
      </c>
      <c r="G15" s="3">
        <f t="shared" si="0"/>
        <v>1335</v>
      </c>
      <c r="H15" s="3" t="s">
        <v>50</v>
      </c>
      <c r="I15" s="3">
        <v>6</v>
      </c>
      <c r="J15" s="6">
        <v>39</v>
      </c>
      <c r="K15" s="3">
        <f t="shared" si="1"/>
        <v>234</v>
      </c>
      <c r="L15" s="3">
        <f t="shared" si="2"/>
        <v>1569</v>
      </c>
    </row>
    <row r="16" ht="18" customHeight="1" spans="1:12">
      <c r="A16" s="3">
        <v>14</v>
      </c>
      <c r="B16" s="3" t="s">
        <v>321</v>
      </c>
      <c r="C16" s="4">
        <v>410</v>
      </c>
      <c r="D16" s="4">
        <v>406</v>
      </c>
      <c r="E16" s="4">
        <v>406</v>
      </c>
      <c r="F16" s="4">
        <v>3</v>
      </c>
      <c r="G16" s="3">
        <f t="shared" si="0"/>
        <v>1218</v>
      </c>
      <c r="H16" s="3" t="s">
        <v>52</v>
      </c>
      <c r="I16" s="3">
        <v>3</v>
      </c>
      <c r="J16" s="6">
        <v>42</v>
      </c>
      <c r="K16" s="3">
        <f t="shared" si="1"/>
        <v>126</v>
      </c>
      <c r="L16" s="3">
        <f t="shared" si="2"/>
        <v>1344</v>
      </c>
    </row>
    <row r="17" ht="18" customHeight="1" spans="1:12">
      <c r="A17" s="3">
        <v>15</v>
      </c>
      <c r="B17" s="3" t="s">
        <v>322</v>
      </c>
      <c r="C17" s="4">
        <v>835</v>
      </c>
      <c r="D17" s="4">
        <v>807</v>
      </c>
      <c r="E17" s="4">
        <v>807</v>
      </c>
      <c r="F17" s="4">
        <v>3</v>
      </c>
      <c r="G17" s="3">
        <f t="shared" si="0"/>
        <v>2421</v>
      </c>
      <c r="H17" s="3" t="s">
        <v>54</v>
      </c>
      <c r="I17" s="3">
        <v>2</v>
      </c>
      <c r="J17" s="6">
        <v>45</v>
      </c>
      <c r="K17" s="3">
        <f t="shared" si="1"/>
        <v>90</v>
      </c>
      <c r="L17" s="3">
        <f t="shared" si="2"/>
        <v>2511</v>
      </c>
    </row>
    <row r="18" ht="18" customHeight="1" spans="1:12">
      <c r="A18" s="3">
        <v>16</v>
      </c>
      <c r="B18" s="3" t="s">
        <v>323</v>
      </c>
      <c r="C18" s="4">
        <v>881</v>
      </c>
      <c r="D18" s="4">
        <v>883</v>
      </c>
      <c r="E18" s="4">
        <v>883</v>
      </c>
      <c r="F18" s="4">
        <v>3</v>
      </c>
      <c r="G18" s="3">
        <f t="shared" si="0"/>
        <v>2649</v>
      </c>
      <c r="H18" s="3" t="s">
        <v>56</v>
      </c>
      <c r="I18" s="3">
        <v>4</v>
      </c>
      <c r="J18" s="6">
        <v>48</v>
      </c>
      <c r="K18" s="3">
        <f t="shared" si="1"/>
        <v>192</v>
      </c>
      <c r="L18" s="3">
        <f t="shared" si="2"/>
        <v>2841</v>
      </c>
    </row>
    <row r="19" ht="18" customHeight="1" spans="1:12">
      <c r="A19" s="3">
        <v>17</v>
      </c>
      <c r="B19" s="3" t="s">
        <v>324</v>
      </c>
      <c r="C19" s="4">
        <v>866</v>
      </c>
      <c r="D19" s="4">
        <v>878</v>
      </c>
      <c r="E19" s="4">
        <v>878</v>
      </c>
      <c r="F19" s="4">
        <v>3</v>
      </c>
      <c r="G19" s="3">
        <f t="shared" si="0"/>
        <v>2634</v>
      </c>
      <c r="H19" s="3" t="s">
        <v>58</v>
      </c>
      <c r="I19" s="3">
        <v>2</v>
      </c>
      <c r="J19" s="6">
        <v>51</v>
      </c>
      <c r="K19" s="3">
        <f t="shared" si="1"/>
        <v>102</v>
      </c>
      <c r="L19" s="3">
        <f t="shared" si="2"/>
        <v>2736</v>
      </c>
    </row>
    <row r="20" ht="18" customHeight="1" spans="1:12">
      <c r="A20" s="3">
        <v>18</v>
      </c>
      <c r="B20" s="3" t="s">
        <v>325</v>
      </c>
      <c r="C20" s="4">
        <v>891</v>
      </c>
      <c r="D20" s="4">
        <v>884</v>
      </c>
      <c r="E20" s="4">
        <v>884</v>
      </c>
      <c r="F20" s="4">
        <v>3</v>
      </c>
      <c r="G20" s="3">
        <f t="shared" si="0"/>
        <v>2652</v>
      </c>
      <c r="H20" s="3" t="s">
        <v>60</v>
      </c>
      <c r="I20" s="3">
        <v>1</v>
      </c>
      <c r="J20" s="6">
        <v>54</v>
      </c>
      <c r="K20" s="3">
        <f t="shared" si="1"/>
        <v>54</v>
      </c>
      <c r="L20" s="3">
        <f t="shared" si="2"/>
        <v>2706</v>
      </c>
    </row>
    <row r="21" ht="18" customHeight="1" spans="1:12">
      <c r="A21" s="3">
        <v>19</v>
      </c>
      <c r="B21" s="3" t="s">
        <v>326</v>
      </c>
      <c r="C21" s="4">
        <v>837</v>
      </c>
      <c r="D21" s="4">
        <v>870</v>
      </c>
      <c r="E21" s="4">
        <v>870</v>
      </c>
      <c r="F21" s="4">
        <v>3</v>
      </c>
      <c r="G21" s="3">
        <f t="shared" si="0"/>
        <v>2610</v>
      </c>
      <c r="H21" s="3" t="s">
        <v>62</v>
      </c>
      <c r="I21" s="3">
        <v>2</v>
      </c>
      <c r="J21" s="6">
        <v>57</v>
      </c>
      <c r="K21" s="3">
        <f t="shared" si="1"/>
        <v>114</v>
      </c>
      <c r="L21" s="3">
        <f t="shared" si="2"/>
        <v>2724</v>
      </c>
    </row>
    <row r="22" ht="18" customHeight="1" spans="1:12">
      <c r="A22" s="3">
        <v>20</v>
      </c>
      <c r="B22" s="3" t="s">
        <v>327</v>
      </c>
      <c r="C22" s="4">
        <v>407</v>
      </c>
      <c r="D22" s="4">
        <v>436</v>
      </c>
      <c r="E22" s="4">
        <v>436</v>
      </c>
      <c r="F22" s="4">
        <v>3</v>
      </c>
      <c r="G22" s="3">
        <f t="shared" si="0"/>
        <v>1308</v>
      </c>
      <c r="H22" s="3" t="s">
        <v>64</v>
      </c>
      <c r="I22" s="3">
        <v>0</v>
      </c>
      <c r="J22" s="6">
        <v>60</v>
      </c>
      <c r="K22" s="3">
        <f t="shared" si="1"/>
        <v>0</v>
      </c>
      <c r="L22" s="3">
        <f t="shared" si="2"/>
        <v>1308</v>
      </c>
    </row>
    <row r="23" ht="18" customHeight="1" spans="1:12">
      <c r="A23" s="3">
        <v>21</v>
      </c>
      <c r="B23" s="3" t="s">
        <v>328</v>
      </c>
      <c r="C23" s="4">
        <v>444</v>
      </c>
      <c r="D23" s="4">
        <v>450</v>
      </c>
      <c r="E23" s="4">
        <v>450</v>
      </c>
      <c r="F23" s="4">
        <v>3</v>
      </c>
      <c r="G23" s="3">
        <f t="shared" si="0"/>
        <v>1350</v>
      </c>
      <c r="H23" s="3" t="s">
        <v>66</v>
      </c>
      <c r="I23" s="3">
        <v>3</v>
      </c>
      <c r="J23" s="6">
        <v>63</v>
      </c>
      <c r="K23" s="3">
        <f t="shared" si="1"/>
        <v>189</v>
      </c>
      <c r="L23" s="3">
        <f t="shared" si="2"/>
        <v>1539</v>
      </c>
    </row>
    <row r="24" ht="18" customHeight="1" spans="1:12">
      <c r="A24" s="3">
        <v>22</v>
      </c>
      <c r="B24" s="3" t="s">
        <v>329</v>
      </c>
      <c r="C24" s="4">
        <v>931</v>
      </c>
      <c r="D24" s="4">
        <v>891</v>
      </c>
      <c r="E24" s="4">
        <v>891</v>
      </c>
      <c r="F24" s="4">
        <v>3</v>
      </c>
      <c r="G24" s="3">
        <f t="shared" si="0"/>
        <v>2673</v>
      </c>
      <c r="H24" s="3" t="s">
        <v>68</v>
      </c>
      <c r="I24" s="3">
        <v>3</v>
      </c>
      <c r="J24" s="6">
        <v>66</v>
      </c>
      <c r="K24" s="3">
        <f t="shared" si="1"/>
        <v>198</v>
      </c>
      <c r="L24" s="3">
        <f t="shared" si="2"/>
        <v>2871</v>
      </c>
    </row>
    <row r="25" ht="18" customHeight="1" spans="1:12">
      <c r="A25" s="3">
        <v>23</v>
      </c>
      <c r="B25" s="3" t="s">
        <v>330</v>
      </c>
      <c r="C25" s="4">
        <v>910</v>
      </c>
      <c r="D25" s="4">
        <v>924</v>
      </c>
      <c r="E25" s="4">
        <v>924</v>
      </c>
      <c r="F25" s="4">
        <v>3</v>
      </c>
      <c r="G25" s="3">
        <f t="shared" si="0"/>
        <v>2772</v>
      </c>
      <c r="H25" s="3" t="s">
        <v>70</v>
      </c>
      <c r="I25" s="3">
        <v>1</v>
      </c>
      <c r="J25" s="6">
        <v>69</v>
      </c>
      <c r="K25" s="3">
        <f t="shared" si="1"/>
        <v>69</v>
      </c>
      <c r="L25" s="3">
        <f t="shared" si="2"/>
        <v>2841</v>
      </c>
    </row>
    <row r="26" ht="18" customHeight="1" spans="1:12">
      <c r="A26" s="3">
        <v>24</v>
      </c>
      <c r="B26" s="3" t="s">
        <v>331</v>
      </c>
      <c r="C26" s="4">
        <v>873</v>
      </c>
      <c r="D26" s="4">
        <v>854</v>
      </c>
      <c r="E26" s="4">
        <v>854</v>
      </c>
      <c r="F26" s="4">
        <v>3</v>
      </c>
      <c r="G26" s="3">
        <f t="shared" si="0"/>
        <v>2562</v>
      </c>
      <c r="H26" s="3" t="s">
        <v>72</v>
      </c>
      <c r="I26" s="3">
        <v>1</v>
      </c>
      <c r="J26" s="6">
        <v>72</v>
      </c>
      <c r="K26" s="3">
        <f t="shared" si="1"/>
        <v>72</v>
      </c>
      <c r="L26" s="3">
        <f t="shared" si="2"/>
        <v>2634</v>
      </c>
    </row>
    <row r="27" ht="18" customHeight="1" spans="1:12">
      <c r="A27" s="3">
        <v>25</v>
      </c>
      <c r="B27" s="3" t="s">
        <v>332</v>
      </c>
      <c r="C27" s="4">
        <v>828</v>
      </c>
      <c r="D27" s="4">
        <v>835</v>
      </c>
      <c r="E27" s="4">
        <v>835</v>
      </c>
      <c r="F27" s="4">
        <v>3</v>
      </c>
      <c r="G27" s="3">
        <f t="shared" si="0"/>
        <v>2505</v>
      </c>
      <c r="H27" s="3" t="s">
        <v>74</v>
      </c>
      <c r="I27" s="3">
        <v>0</v>
      </c>
      <c r="J27" s="6">
        <v>75</v>
      </c>
      <c r="K27" s="3">
        <f t="shared" si="1"/>
        <v>0</v>
      </c>
      <c r="L27" s="3">
        <f t="shared" si="2"/>
        <v>2505</v>
      </c>
    </row>
    <row r="28" ht="18" customHeight="1" spans="1:12">
      <c r="A28" s="3">
        <v>26</v>
      </c>
      <c r="B28" s="3" t="s">
        <v>333</v>
      </c>
      <c r="C28" s="4">
        <v>845</v>
      </c>
      <c r="D28" s="4">
        <v>851</v>
      </c>
      <c r="E28" s="4">
        <v>851</v>
      </c>
      <c r="F28" s="4">
        <v>3</v>
      </c>
      <c r="G28" s="3">
        <f t="shared" si="0"/>
        <v>2553</v>
      </c>
      <c r="H28" s="3" t="s">
        <v>76</v>
      </c>
      <c r="I28" s="3">
        <v>1</v>
      </c>
      <c r="J28" s="6">
        <v>78</v>
      </c>
      <c r="K28" s="3">
        <f t="shared" si="1"/>
        <v>78</v>
      </c>
      <c r="L28" s="3">
        <f t="shared" si="2"/>
        <v>2631</v>
      </c>
    </row>
    <row r="29" ht="18" customHeight="1" spans="1:12">
      <c r="A29" s="3">
        <v>27</v>
      </c>
      <c r="B29" s="3" t="s">
        <v>334</v>
      </c>
      <c r="C29" s="4">
        <v>479</v>
      </c>
      <c r="D29" s="4">
        <v>531</v>
      </c>
      <c r="E29" s="4">
        <v>531</v>
      </c>
      <c r="F29" s="4">
        <v>3</v>
      </c>
      <c r="G29" s="3">
        <f t="shared" si="0"/>
        <v>1593</v>
      </c>
      <c r="H29" s="3" t="s">
        <v>78</v>
      </c>
      <c r="I29" s="3">
        <v>1</v>
      </c>
      <c r="J29" s="6">
        <v>81</v>
      </c>
      <c r="K29" s="3">
        <f t="shared" si="1"/>
        <v>81</v>
      </c>
      <c r="L29" s="3">
        <f t="shared" si="2"/>
        <v>1674</v>
      </c>
    </row>
    <row r="30" ht="18" customHeight="1" spans="1:12">
      <c r="A30" s="3">
        <v>28</v>
      </c>
      <c r="B30" s="3" t="s">
        <v>335</v>
      </c>
      <c r="C30" s="4">
        <v>819</v>
      </c>
      <c r="D30" s="4">
        <v>808</v>
      </c>
      <c r="E30" s="4">
        <v>808</v>
      </c>
      <c r="F30" s="4">
        <v>3</v>
      </c>
      <c r="G30" s="3">
        <f t="shared" si="0"/>
        <v>2424</v>
      </c>
      <c r="H30" s="3" t="s">
        <v>80</v>
      </c>
      <c r="I30" s="3">
        <v>0</v>
      </c>
      <c r="J30" s="6">
        <v>84</v>
      </c>
      <c r="K30" s="3">
        <f t="shared" si="1"/>
        <v>0</v>
      </c>
      <c r="L30" s="3">
        <f t="shared" si="2"/>
        <v>2424</v>
      </c>
    </row>
    <row r="31" ht="18" customHeight="1" spans="1:12">
      <c r="A31" s="3">
        <v>29</v>
      </c>
      <c r="B31" s="3" t="s">
        <v>336</v>
      </c>
      <c r="C31" s="4">
        <v>864</v>
      </c>
      <c r="D31" s="4">
        <v>865</v>
      </c>
      <c r="E31" s="4">
        <v>865</v>
      </c>
      <c r="F31" s="4">
        <v>3</v>
      </c>
      <c r="G31" s="3">
        <f t="shared" si="0"/>
        <v>2595</v>
      </c>
      <c r="H31" s="3" t="s">
        <v>82</v>
      </c>
      <c r="I31" s="3">
        <v>0</v>
      </c>
      <c r="J31" s="6">
        <v>87</v>
      </c>
      <c r="K31" s="3">
        <f t="shared" si="1"/>
        <v>0</v>
      </c>
      <c r="L31" s="3">
        <f t="shared" si="2"/>
        <v>2595</v>
      </c>
    </row>
    <row r="32" ht="18" customHeight="1" spans="1:12">
      <c r="A32" s="3">
        <v>30</v>
      </c>
      <c r="B32" s="3" t="s">
        <v>337</v>
      </c>
      <c r="C32" s="4">
        <v>821</v>
      </c>
      <c r="D32" s="4">
        <v>856</v>
      </c>
      <c r="E32" s="4">
        <v>856</v>
      </c>
      <c r="F32" s="4">
        <v>3</v>
      </c>
      <c r="G32" s="3">
        <f t="shared" si="0"/>
        <v>2568</v>
      </c>
      <c r="H32" s="3" t="s">
        <v>84</v>
      </c>
      <c r="I32" s="3">
        <v>0</v>
      </c>
      <c r="J32" s="6">
        <v>90</v>
      </c>
      <c r="K32" s="3">
        <f t="shared" si="1"/>
        <v>0</v>
      </c>
      <c r="L32" s="3">
        <f t="shared" si="2"/>
        <v>2568</v>
      </c>
    </row>
    <row r="33" ht="18" customHeight="1" spans="1:12">
      <c r="A33" s="3" t="s">
        <v>87</v>
      </c>
      <c r="B33" s="5"/>
      <c r="C33" s="4">
        <f>SUM(C3:C32)</f>
        <v>22444</v>
      </c>
      <c r="D33" s="4">
        <f>SUM(D3:D32)</f>
        <v>22591</v>
      </c>
      <c r="E33" s="4">
        <f>SUM(E3:E32)</f>
        <v>22591</v>
      </c>
      <c r="F33" s="4">
        <v>3</v>
      </c>
      <c r="G33" s="3">
        <f t="shared" si="0"/>
        <v>67773</v>
      </c>
      <c r="H33" s="4"/>
      <c r="I33" s="4"/>
      <c r="J33" s="5"/>
      <c r="K33" s="3">
        <f>SUM(K3:K32)</f>
        <v>13176</v>
      </c>
      <c r="L33" s="3">
        <f>SUM(L3:L32)</f>
        <v>80949</v>
      </c>
    </row>
  </sheetData>
  <mergeCells count="3">
    <mergeCell ref="A1:L1"/>
    <mergeCell ref="H2:J2"/>
    <mergeCell ref="H33:J33"/>
  </mergeCells>
  <pageMargins left="0.75" right="0.75" top="1" bottom="1" header="0.5" footer="0.5"/>
  <pageSetup paperSize="3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workbookViewId="0">
      <selection activeCell="N15" sqref="N15"/>
    </sheetView>
  </sheetViews>
  <sheetFormatPr defaultColWidth="9" defaultRowHeight="16.8"/>
  <cols>
    <col min="2" max="2" width="17.25" customWidth="1"/>
    <col min="3" max="3" width="15.125" customWidth="1"/>
    <col min="4" max="4" width="16.25" customWidth="1"/>
    <col min="5" max="5" width="16.625" customWidth="1"/>
    <col min="6" max="7" width="18.375" customWidth="1"/>
    <col min="11" max="11" width="22.375" customWidth="1"/>
    <col min="12" max="12" width="20.375" customWidth="1"/>
  </cols>
  <sheetData>
    <row r="1" ht="30" customHeight="1" spans="1:12">
      <c r="A1" s="1" t="s">
        <v>338</v>
      </c>
      <c r="B1" s="2"/>
      <c r="C1" s="2"/>
      <c r="D1" s="2"/>
      <c r="E1" s="2"/>
      <c r="F1" s="2"/>
      <c r="G1" s="2"/>
      <c r="H1" s="2"/>
      <c r="I1" s="2"/>
      <c r="J1" s="2"/>
      <c r="K1" s="2"/>
      <c r="L1" s="8"/>
    </row>
    <row r="2" ht="22" customHeight="1" spans="1:12">
      <c r="A2" s="3" t="s">
        <v>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6" t="s">
        <v>21</v>
      </c>
      <c r="H2" s="7" t="s">
        <v>22</v>
      </c>
      <c r="I2" s="3"/>
      <c r="J2" s="3"/>
      <c r="K2" s="6" t="s">
        <v>23</v>
      </c>
      <c r="L2" s="3" t="s">
        <v>24</v>
      </c>
    </row>
    <row r="3" ht="18" customHeight="1" spans="1:12">
      <c r="A3" s="3">
        <v>1</v>
      </c>
      <c r="B3" s="3" t="s">
        <v>339</v>
      </c>
      <c r="C3" s="3">
        <v>392</v>
      </c>
      <c r="D3" s="3">
        <v>415</v>
      </c>
      <c r="E3" s="3">
        <v>415</v>
      </c>
      <c r="F3" s="3">
        <v>3</v>
      </c>
      <c r="G3" s="3">
        <f t="shared" ref="G3:G34" si="0">E3*F3</f>
        <v>1245</v>
      </c>
      <c r="H3" s="3" t="s">
        <v>26</v>
      </c>
      <c r="I3" s="3">
        <v>1456</v>
      </c>
      <c r="J3" s="6">
        <v>3</v>
      </c>
      <c r="K3" s="3">
        <f t="shared" ref="K3:K33" si="1">I3*J3</f>
        <v>4368</v>
      </c>
      <c r="L3" s="3">
        <f t="shared" ref="L3:L33" si="2">G3+K3</f>
        <v>5613</v>
      </c>
    </row>
    <row r="4" ht="18" customHeight="1" spans="1:12">
      <c r="A4" s="3">
        <v>2</v>
      </c>
      <c r="B4" s="3" t="s">
        <v>340</v>
      </c>
      <c r="C4" s="3">
        <v>321</v>
      </c>
      <c r="D4" s="3">
        <v>347</v>
      </c>
      <c r="E4" s="3">
        <v>347</v>
      </c>
      <c r="F4" s="4">
        <v>3</v>
      </c>
      <c r="G4" s="3">
        <f t="shared" si="0"/>
        <v>1041</v>
      </c>
      <c r="H4" s="3" t="s">
        <v>28</v>
      </c>
      <c r="I4" s="3">
        <v>264</v>
      </c>
      <c r="J4" s="6">
        <v>6</v>
      </c>
      <c r="K4" s="3">
        <f t="shared" si="1"/>
        <v>1584</v>
      </c>
      <c r="L4" s="3">
        <f t="shared" si="2"/>
        <v>2625</v>
      </c>
    </row>
    <row r="5" ht="18" customHeight="1" spans="1:12">
      <c r="A5" s="3">
        <v>3</v>
      </c>
      <c r="B5" s="3" t="s">
        <v>341</v>
      </c>
      <c r="C5" s="3">
        <v>297</v>
      </c>
      <c r="D5" s="3">
        <v>291</v>
      </c>
      <c r="E5" s="3">
        <v>291</v>
      </c>
      <c r="F5" s="4">
        <v>3</v>
      </c>
      <c r="G5" s="3">
        <f t="shared" si="0"/>
        <v>873</v>
      </c>
      <c r="H5" s="3" t="s">
        <v>30</v>
      </c>
      <c r="I5" s="3">
        <v>132</v>
      </c>
      <c r="J5" s="6">
        <v>9</v>
      </c>
      <c r="K5" s="3">
        <f t="shared" si="1"/>
        <v>1188</v>
      </c>
      <c r="L5" s="3">
        <f t="shared" si="2"/>
        <v>2061</v>
      </c>
    </row>
    <row r="6" ht="18" customHeight="1" spans="1:12">
      <c r="A6" s="3">
        <v>4</v>
      </c>
      <c r="B6" s="3" t="s">
        <v>342</v>
      </c>
      <c r="C6" s="3">
        <v>325</v>
      </c>
      <c r="D6" s="3">
        <v>312</v>
      </c>
      <c r="E6" s="3">
        <v>312</v>
      </c>
      <c r="F6" s="4">
        <v>3</v>
      </c>
      <c r="G6" s="3">
        <f t="shared" si="0"/>
        <v>936</v>
      </c>
      <c r="H6" s="3" t="s">
        <v>32</v>
      </c>
      <c r="I6" s="3">
        <v>76</v>
      </c>
      <c r="J6" s="6">
        <v>12</v>
      </c>
      <c r="K6" s="3">
        <f t="shared" si="1"/>
        <v>912</v>
      </c>
      <c r="L6" s="3">
        <f t="shared" si="2"/>
        <v>1848</v>
      </c>
    </row>
    <row r="7" ht="18" customHeight="1" spans="1:12">
      <c r="A7" s="3">
        <v>5</v>
      </c>
      <c r="B7" s="3" t="s">
        <v>343</v>
      </c>
      <c r="C7" s="3">
        <v>333</v>
      </c>
      <c r="D7" s="3">
        <v>322</v>
      </c>
      <c r="E7" s="3">
        <v>322</v>
      </c>
      <c r="F7" s="4">
        <v>3</v>
      </c>
      <c r="G7" s="3">
        <f t="shared" si="0"/>
        <v>966</v>
      </c>
      <c r="H7" s="3" t="s">
        <v>34</v>
      </c>
      <c r="I7" s="3">
        <v>45</v>
      </c>
      <c r="J7" s="6">
        <v>15</v>
      </c>
      <c r="K7" s="3">
        <f t="shared" si="1"/>
        <v>675</v>
      </c>
      <c r="L7" s="3">
        <f t="shared" si="2"/>
        <v>1641</v>
      </c>
    </row>
    <row r="8" ht="18" customHeight="1" spans="1:12">
      <c r="A8" s="3">
        <v>6</v>
      </c>
      <c r="B8" s="3" t="s">
        <v>344</v>
      </c>
      <c r="C8" s="4">
        <v>314</v>
      </c>
      <c r="D8" s="4">
        <v>343</v>
      </c>
      <c r="E8" s="4">
        <v>343</v>
      </c>
      <c r="F8" s="4">
        <v>3</v>
      </c>
      <c r="G8" s="3">
        <f t="shared" si="0"/>
        <v>1029</v>
      </c>
      <c r="H8" s="3" t="s">
        <v>36</v>
      </c>
      <c r="I8" s="3">
        <v>27</v>
      </c>
      <c r="J8" s="6">
        <v>18</v>
      </c>
      <c r="K8" s="3">
        <f t="shared" si="1"/>
        <v>486</v>
      </c>
      <c r="L8" s="3">
        <f t="shared" si="2"/>
        <v>1515</v>
      </c>
    </row>
    <row r="9" ht="18" customHeight="1" spans="1:12">
      <c r="A9" s="3">
        <v>7</v>
      </c>
      <c r="B9" s="3" t="s">
        <v>345</v>
      </c>
      <c r="C9" s="4">
        <v>364</v>
      </c>
      <c r="D9" s="4">
        <v>359</v>
      </c>
      <c r="E9" s="4">
        <v>359</v>
      </c>
      <c r="F9" s="4">
        <v>3</v>
      </c>
      <c r="G9" s="3">
        <f t="shared" si="0"/>
        <v>1077</v>
      </c>
      <c r="H9" s="3" t="s">
        <v>38</v>
      </c>
      <c r="I9" s="3">
        <v>15</v>
      </c>
      <c r="J9" s="6">
        <v>21</v>
      </c>
      <c r="K9" s="3">
        <f t="shared" si="1"/>
        <v>315</v>
      </c>
      <c r="L9" s="3">
        <f t="shared" si="2"/>
        <v>1392</v>
      </c>
    </row>
    <row r="10" ht="18" customHeight="1" spans="1:12">
      <c r="A10" s="3">
        <v>8</v>
      </c>
      <c r="B10" s="3" t="s">
        <v>346</v>
      </c>
      <c r="C10" s="4">
        <v>466</v>
      </c>
      <c r="D10" s="4">
        <v>442</v>
      </c>
      <c r="E10" s="4">
        <v>442</v>
      </c>
      <c r="F10" s="4">
        <v>3</v>
      </c>
      <c r="G10" s="3">
        <f t="shared" si="0"/>
        <v>1326</v>
      </c>
      <c r="H10" s="3" t="s">
        <v>40</v>
      </c>
      <c r="I10" s="3">
        <v>22</v>
      </c>
      <c r="J10" s="6">
        <v>24</v>
      </c>
      <c r="K10" s="3">
        <f t="shared" si="1"/>
        <v>528</v>
      </c>
      <c r="L10" s="3">
        <f t="shared" si="2"/>
        <v>1854</v>
      </c>
    </row>
    <row r="11" ht="18" customHeight="1" spans="1:12">
      <c r="A11" s="3">
        <v>9</v>
      </c>
      <c r="B11" s="3" t="s">
        <v>347</v>
      </c>
      <c r="C11" s="4">
        <v>871</v>
      </c>
      <c r="D11" s="4">
        <v>831</v>
      </c>
      <c r="E11" s="4">
        <v>831</v>
      </c>
      <c r="F11" s="4">
        <v>3</v>
      </c>
      <c r="G11" s="3">
        <f t="shared" si="0"/>
        <v>2493</v>
      </c>
      <c r="H11" s="3" t="s">
        <v>42</v>
      </c>
      <c r="I11" s="3">
        <v>14</v>
      </c>
      <c r="J11" s="6">
        <v>27</v>
      </c>
      <c r="K11" s="3">
        <f t="shared" si="1"/>
        <v>378</v>
      </c>
      <c r="L11" s="3">
        <f t="shared" si="2"/>
        <v>2871</v>
      </c>
    </row>
    <row r="12" ht="18" customHeight="1" spans="1:12">
      <c r="A12" s="3">
        <v>10</v>
      </c>
      <c r="B12" s="3" t="s">
        <v>348</v>
      </c>
      <c r="C12" s="4">
        <v>867</v>
      </c>
      <c r="D12" s="4">
        <v>853</v>
      </c>
      <c r="E12" s="4">
        <v>853</v>
      </c>
      <c r="F12" s="4">
        <v>3</v>
      </c>
      <c r="G12" s="3">
        <f t="shared" si="0"/>
        <v>2559</v>
      </c>
      <c r="H12" s="3" t="s">
        <v>44</v>
      </c>
      <c r="I12" s="3">
        <v>10</v>
      </c>
      <c r="J12" s="6">
        <v>30</v>
      </c>
      <c r="K12" s="3">
        <f t="shared" si="1"/>
        <v>300</v>
      </c>
      <c r="L12" s="3">
        <f t="shared" si="2"/>
        <v>2859</v>
      </c>
    </row>
    <row r="13" ht="18" customHeight="1" spans="1:12">
      <c r="A13" s="3">
        <v>11</v>
      </c>
      <c r="B13" s="3" t="s">
        <v>349</v>
      </c>
      <c r="C13" s="4">
        <v>823</v>
      </c>
      <c r="D13" s="4">
        <v>841</v>
      </c>
      <c r="E13" s="4">
        <v>841</v>
      </c>
      <c r="F13" s="4">
        <v>3</v>
      </c>
      <c r="G13" s="3">
        <f t="shared" si="0"/>
        <v>2523</v>
      </c>
      <c r="H13" s="3" t="s">
        <v>46</v>
      </c>
      <c r="I13" s="3">
        <v>8</v>
      </c>
      <c r="J13" s="6">
        <v>33</v>
      </c>
      <c r="K13" s="3">
        <f t="shared" si="1"/>
        <v>264</v>
      </c>
      <c r="L13" s="3">
        <f t="shared" si="2"/>
        <v>2787</v>
      </c>
    </row>
    <row r="14" ht="18" customHeight="1" spans="1:12">
      <c r="A14" s="3">
        <v>12</v>
      </c>
      <c r="B14" s="3" t="s">
        <v>350</v>
      </c>
      <c r="C14" s="4">
        <v>457</v>
      </c>
      <c r="D14" s="4">
        <v>486</v>
      </c>
      <c r="E14" s="4">
        <v>486</v>
      </c>
      <c r="F14" s="4">
        <v>3</v>
      </c>
      <c r="G14" s="3">
        <f t="shared" si="0"/>
        <v>1458</v>
      </c>
      <c r="H14" s="3" t="s">
        <v>48</v>
      </c>
      <c r="I14" s="3">
        <v>3</v>
      </c>
      <c r="J14" s="6">
        <v>36</v>
      </c>
      <c r="K14" s="3">
        <f t="shared" si="1"/>
        <v>108</v>
      </c>
      <c r="L14" s="3">
        <f t="shared" si="2"/>
        <v>1566</v>
      </c>
    </row>
    <row r="15" ht="18" customHeight="1" spans="1:12">
      <c r="A15" s="3">
        <v>13</v>
      </c>
      <c r="B15" s="3" t="s">
        <v>351</v>
      </c>
      <c r="C15" s="4">
        <v>890</v>
      </c>
      <c r="D15" s="4">
        <v>849</v>
      </c>
      <c r="E15" s="4">
        <v>849</v>
      </c>
      <c r="F15" s="4">
        <v>3</v>
      </c>
      <c r="G15" s="3">
        <f t="shared" si="0"/>
        <v>2547</v>
      </c>
      <c r="H15" s="3" t="s">
        <v>50</v>
      </c>
      <c r="I15" s="3">
        <v>6</v>
      </c>
      <c r="J15" s="6">
        <v>39</v>
      </c>
      <c r="K15" s="3">
        <f t="shared" si="1"/>
        <v>234</v>
      </c>
      <c r="L15" s="3">
        <f t="shared" si="2"/>
        <v>2781</v>
      </c>
    </row>
    <row r="16" ht="18" customHeight="1" spans="1:12">
      <c r="A16" s="3">
        <v>14</v>
      </c>
      <c r="B16" s="3" t="s">
        <v>352</v>
      </c>
      <c r="C16" s="4">
        <v>862</v>
      </c>
      <c r="D16" s="4">
        <v>867</v>
      </c>
      <c r="E16" s="4">
        <v>867</v>
      </c>
      <c r="F16" s="4">
        <v>3</v>
      </c>
      <c r="G16" s="3">
        <f t="shared" si="0"/>
        <v>2601</v>
      </c>
      <c r="H16" s="3" t="s">
        <v>52</v>
      </c>
      <c r="I16" s="3">
        <v>5</v>
      </c>
      <c r="J16" s="6">
        <v>42</v>
      </c>
      <c r="K16" s="3">
        <f t="shared" si="1"/>
        <v>210</v>
      </c>
      <c r="L16" s="3">
        <f t="shared" si="2"/>
        <v>2811</v>
      </c>
    </row>
    <row r="17" ht="18" customHeight="1" spans="1:12">
      <c r="A17" s="3">
        <v>15</v>
      </c>
      <c r="B17" s="3" t="s">
        <v>353</v>
      </c>
      <c r="C17" s="4">
        <v>869</v>
      </c>
      <c r="D17" s="4">
        <v>866</v>
      </c>
      <c r="E17" s="4">
        <v>866</v>
      </c>
      <c r="F17" s="4">
        <v>3</v>
      </c>
      <c r="G17" s="3">
        <f t="shared" si="0"/>
        <v>2598</v>
      </c>
      <c r="H17" s="3" t="s">
        <v>54</v>
      </c>
      <c r="I17" s="3">
        <v>4</v>
      </c>
      <c r="J17" s="6">
        <v>45</v>
      </c>
      <c r="K17" s="3">
        <f t="shared" si="1"/>
        <v>180</v>
      </c>
      <c r="L17" s="3">
        <f t="shared" si="2"/>
        <v>2778</v>
      </c>
    </row>
    <row r="18" ht="18" customHeight="1" spans="1:12">
      <c r="A18" s="3">
        <v>16</v>
      </c>
      <c r="B18" s="3" t="s">
        <v>354</v>
      </c>
      <c r="C18" s="4">
        <v>833</v>
      </c>
      <c r="D18" s="4">
        <v>827</v>
      </c>
      <c r="E18" s="4">
        <v>827</v>
      </c>
      <c r="F18" s="4">
        <v>3</v>
      </c>
      <c r="G18" s="3">
        <f t="shared" si="0"/>
        <v>2481</v>
      </c>
      <c r="H18" s="3" t="s">
        <v>56</v>
      </c>
      <c r="I18" s="3">
        <v>1</v>
      </c>
      <c r="J18" s="6">
        <v>48</v>
      </c>
      <c r="K18" s="3">
        <f t="shared" si="1"/>
        <v>48</v>
      </c>
      <c r="L18" s="3">
        <f t="shared" si="2"/>
        <v>2529</v>
      </c>
    </row>
    <row r="19" ht="18" customHeight="1" spans="1:12">
      <c r="A19" s="3">
        <v>17</v>
      </c>
      <c r="B19" s="3" t="s">
        <v>355</v>
      </c>
      <c r="C19" s="4">
        <v>878</v>
      </c>
      <c r="D19" s="4">
        <v>896</v>
      </c>
      <c r="E19" s="4">
        <v>896</v>
      </c>
      <c r="F19" s="4">
        <v>3</v>
      </c>
      <c r="G19" s="3">
        <f t="shared" si="0"/>
        <v>2688</v>
      </c>
      <c r="H19" s="3" t="s">
        <v>58</v>
      </c>
      <c r="I19" s="3">
        <v>0</v>
      </c>
      <c r="J19" s="6">
        <v>51</v>
      </c>
      <c r="K19" s="3">
        <f t="shared" si="1"/>
        <v>0</v>
      </c>
      <c r="L19" s="3">
        <f t="shared" si="2"/>
        <v>2688</v>
      </c>
    </row>
    <row r="20" ht="18" customHeight="1" spans="1:12">
      <c r="A20" s="3">
        <v>18</v>
      </c>
      <c r="B20" s="3" t="s">
        <v>356</v>
      </c>
      <c r="C20" s="4">
        <v>506</v>
      </c>
      <c r="D20" s="4">
        <v>536</v>
      </c>
      <c r="E20" s="4">
        <v>536</v>
      </c>
      <c r="F20" s="4">
        <v>3</v>
      </c>
      <c r="G20" s="3">
        <f t="shared" si="0"/>
        <v>1608</v>
      </c>
      <c r="H20" s="3" t="s">
        <v>60</v>
      </c>
      <c r="I20" s="3">
        <v>2</v>
      </c>
      <c r="J20" s="6">
        <v>54</v>
      </c>
      <c r="K20" s="3">
        <f t="shared" si="1"/>
        <v>108</v>
      </c>
      <c r="L20" s="3">
        <f t="shared" si="2"/>
        <v>1716</v>
      </c>
    </row>
    <row r="21" ht="18" customHeight="1" spans="1:12">
      <c r="A21" s="3">
        <v>19</v>
      </c>
      <c r="B21" s="3" t="s">
        <v>357</v>
      </c>
      <c r="C21" s="4">
        <v>456</v>
      </c>
      <c r="D21" s="4">
        <v>446</v>
      </c>
      <c r="E21" s="4">
        <v>446</v>
      </c>
      <c r="F21" s="4">
        <v>3</v>
      </c>
      <c r="G21" s="3">
        <f t="shared" si="0"/>
        <v>1338</v>
      </c>
      <c r="H21" s="3" t="s">
        <v>62</v>
      </c>
      <c r="I21" s="3">
        <v>2</v>
      </c>
      <c r="J21" s="6">
        <v>57</v>
      </c>
      <c r="K21" s="3">
        <f t="shared" si="1"/>
        <v>114</v>
      </c>
      <c r="L21" s="3">
        <f t="shared" si="2"/>
        <v>1452</v>
      </c>
    </row>
    <row r="22" ht="18" customHeight="1" spans="1:12">
      <c r="A22" s="3">
        <v>20</v>
      </c>
      <c r="B22" s="3" t="s">
        <v>358</v>
      </c>
      <c r="C22" s="4">
        <v>912</v>
      </c>
      <c r="D22" s="4">
        <v>870</v>
      </c>
      <c r="E22" s="4">
        <v>870</v>
      </c>
      <c r="F22" s="4">
        <v>3</v>
      </c>
      <c r="G22" s="3">
        <f t="shared" si="0"/>
        <v>2610</v>
      </c>
      <c r="H22" s="3" t="s">
        <v>64</v>
      </c>
      <c r="I22" s="3">
        <v>2</v>
      </c>
      <c r="J22" s="6">
        <v>60</v>
      </c>
      <c r="K22" s="3">
        <f t="shared" si="1"/>
        <v>120</v>
      </c>
      <c r="L22" s="3">
        <f t="shared" si="2"/>
        <v>2730</v>
      </c>
    </row>
    <row r="23" ht="18" customHeight="1" spans="1:12">
      <c r="A23" s="3">
        <v>21</v>
      </c>
      <c r="B23" s="3" t="s">
        <v>359</v>
      </c>
      <c r="C23" s="4">
        <v>877</v>
      </c>
      <c r="D23" s="4">
        <v>896</v>
      </c>
      <c r="E23" s="4">
        <v>896</v>
      </c>
      <c r="F23" s="4">
        <v>3</v>
      </c>
      <c r="G23" s="3">
        <f t="shared" si="0"/>
        <v>2688</v>
      </c>
      <c r="H23" s="3" t="s">
        <v>66</v>
      </c>
      <c r="I23" s="3">
        <v>0</v>
      </c>
      <c r="J23" s="6">
        <v>63</v>
      </c>
      <c r="K23" s="3">
        <f t="shared" si="1"/>
        <v>0</v>
      </c>
      <c r="L23" s="3">
        <f t="shared" si="2"/>
        <v>2688</v>
      </c>
    </row>
    <row r="24" ht="18" customHeight="1" spans="1:12">
      <c r="A24" s="3">
        <v>22</v>
      </c>
      <c r="B24" s="3" t="s">
        <v>360</v>
      </c>
      <c r="C24" s="4">
        <v>886</v>
      </c>
      <c r="D24" s="4">
        <v>884</v>
      </c>
      <c r="E24" s="4">
        <v>884</v>
      </c>
      <c r="F24" s="4">
        <v>3</v>
      </c>
      <c r="G24" s="3">
        <f t="shared" si="0"/>
        <v>2652</v>
      </c>
      <c r="H24" s="3" t="s">
        <v>68</v>
      </c>
      <c r="I24" s="3">
        <v>2</v>
      </c>
      <c r="J24" s="6">
        <v>66</v>
      </c>
      <c r="K24" s="3">
        <f t="shared" si="1"/>
        <v>132</v>
      </c>
      <c r="L24" s="3">
        <f t="shared" si="2"/>
        <v>2784</v>
      </c>
    </row>
    <row r="25" ht="18" customHeight="1" spans="1:12">
      <c r="A25" s="3">
        <v>23</v>
      </c>
      <c r="B25" s="3" t="s">
        <v>361</v>
      </c>
      <c r="C25" s="4">
        <v>882</v>
      </c>
      <c r="D25" s="4">
        <v>863</v>
      </c>
      <c r="E25" s="4">
        <v>863</v>
      </c>
      <c r="F25" s="4">
        <v>3</v>
      </c>
      <c r="G25" s="3">
        <f t="shared" si="0"/>
        <v>2589</v>
      </c>
      <c r="H25" s="3" t="s">
        <v>70</v>
      </c>
      <c r="I25" s="3">
        <v>2</v>
      </c>
      <c r="J25" s="6">
        <v>69</v>
      </c>
      <c r="K25" s="3">
        <f t="shared" si="1"/>
        <v>138</v>
      </c>
      <c r="L25" s="3">
        <f t="shared" si="2"/>
        <v>2727</v>
      </c>
    </row>
    <row r="26" ht="18" customHeight="1" spans="1:12">
      <c r="A26" s="3">
        <v>24</v>
      </c>
      <c r="B26" s="3" t="s">
        <v>362</v>
      </c>
      <c r="C26" s="4">
        <v>836</v>
      </c>
      <c r="D26" s="4">
        <v>842</v>
      </c>
      <c r="E26" s="4">
        <v>842</v>
      </c>
      <c r="F26" s="4">
        <v>3</v>
      </c>
      <c r="G26" s="3">
        <f t="shared" si="0"/>
        <v>2526</v>
      </c>
      <c r="H26" s="3" t="s">
        <v>72</v>
      </c>
      <c r="I26" s="3">
        <v>1</v>
      </c>
      <c r="J26" s="6">
        <v>72</v>
      </c>
      <c r="K26" s="3">
        <f t="shared" si="1"/>
        <v>72</v>
      </c>
      <c r="L26" s="3">
        <f t="shared" si="2"/>
        <v>2598</v>
      </c>
    </row>
    <row r="27" ht="18" customHeight="1" spans="1:12">
      <c r="A27" s="3">
        <v>25</v>
      </c>
      <c r="B27" s="3" t="s">
        <v>363</v>
      </c>
      <c r="C27" s="4">
        <v>466</v>
      </c>
      <c r="D27" s="4">
        <v>490</v>
      </c>
      <c r="E27" s="4">
        <v>490</v>
      </c>
      <c r="F27" s="4">
        <v>3</v>
      </c>
      <c r="G27" s="3">
        <f t="shared" si="0"/>
        <v>1470</v>
      </c>
      <c r="H27" s="3" t="s">
        <v>74</v>
      </c>
      <c r="I27" s="3">
        <v>0</v>
      </c>
      <c r="J27" s="6">
        <v>75</v>
      </c>
      <c r="K27" s="3">
        <f t="shared" si="1"/>
        <v>0</v>
      </c>
      <c r="L27" s="3">
        <f t="shared" si="2"/>
        <v>1470</v>
      </c>
    </row>
    <row r="28" ht="18" customHeight="1" spans="1:12">
      <c r="A28" s="3">
        <v>26</v>
      </c>
      <c r="B28" s="3" t="s">
        <v>364</v>
      </c>
      <c r="C28" s="4">
        <v>438</v>
      </c>
      <c r="D28" s="4">
        <v>468</v>
      </c>
      <c r="E28" s="4">
        <v>468</v>
      </c>
      <c r="F28" s="4">
        <v>3</v>
      </c>
      <c r="G28" s="3">
        <f t="shared" si="0"/>
        <v>1404</v>
      </c>
      <c r="H28" s="3" t="s">
        <v>76</v>
      </c>
      <c r="I28" s="3">
        <v>1</v>
      </c>
      <c r="J28" s="6">
        <v>78</v>
      </c>
      <c r="K28" s="3">
        <f t="shared" si="1"/>
        <v>78</v>
      </c>
      <c r="L28" s="3">
        <f t="shared" si="2"/>
        <v>1482</v>
      </c>
    </row>
    <row r="29" ht="18" customHeight="1" spans="1:12">
      <c r="A29" s="3">
        <v>27</v>
      </c>
      <c r="B29" s="3" t="s">
        <v>365</v>
      </c>
      <c r="C29" s="4">
        <v>900</v>
      </c>
      <c r="D29" s="4">
        <v>871</v>
      </c>
      <c r="E29" s="4">
        <v>871</v>
      </c>
      <c r="F29" s="4">
        <v>3</v>
      </c>
      <c r="G29" s="3">
        <f t="shared" si="0"/>
        <v>2613</v>
      </c>
      <c r="H29" s="3" t="s">
        <v>78</v>
      </c>
      <c r="I29" s="3">
        <v>0</v>
      </c>
      <c r="J29" s="6">
        <v>81</v>
      </c>
      <c r="K29" s="3">
        <f t="shared" si="1"/>
        <v>0</v>
      </c>
      <c r="L29" s="3">
        <f t="shared" si="2"/>
        <v>2613</v>
      </c>
    </row>
    <row r="30" ht="18" customHeight="1" spans="1:12">
      <c r="A30" s="3">
        <v>28</v>
      </c>
      <c r="B30" s="3" t="s">
        <v>366</v>
      </c>
      <c r="C30" s="4">
        <v>872</v>
      </c>
      <c r="D30" s="4">
        <v>851</v>
      </c>
      <c r="E30" s="4">
        <v>851</v>
      </c>
      <c r="F30" s="4">
        <v>3</v>
      </c>
      <c r="G30" s="3">
        <f t="shared" si="0"/>
        <v>2553</v>
      </c>
      <c r="H30" s="3" t="s">
        <v>80</v>
      </c>
      <c r="I30" s="3">
        <v>0</v>
      </c>
      <c r="J30" s="6">
        <v>84</v>
      </c>
      <c r="K30" s="3">
        <f t="shared" si="1"/>
        <v>0</v>
      </c>
      <c r="L30" s="3">
        <f t="shared" si="2"/>
        <v>2553</v>
      </c>
    </row>
    <row r="31" ht="18" customHeight="1" spans="1:12">
      <c r="A31" s="3">
        <v>29</v>
      </c>
      <c r="B31" s="3" t="s">
        <v>367</v>
      </c>
      <c r="C31" s="4">
        <v>875</v>
      </c>
      <c r="D31" s="4">
        <v>896</v>
      </c>
      <c r="E31" s="4">
        <v>896</v>
      </c>
      <c r="F31" s="4">
        <v>3</v>
      </c>
      <c r="G31" s="3">
        <f t="shared" si="0"/>
        <v>2688</v>
      </c>
      <c r="H31" s="3" t="s">
        <v>82</v>
      </c>
      <c r="I31" s="3">
        <v>1</v>
      </c>
      <c r="J31" s="6">
        <v>87</v>
      </c>
      <c r="K31" s="3">
        <f t="shared" si="1"/>
        <v>87</v>
      </c>
      <c r="L31" s="3">
        <f t="shared" si="2"/>
        <v>2775</v>
      </c>
    </row>
    <row r="32" ht="18" customHeight="1" spans="1:12">
      <c r="A32" s="3">
        <v>30</v>
      </c>
      <c r="B32" s="3" t="s">
        <v>368</v>
      </c>
      <c r="C32" s="4">
        <v>888</v>
      </c>
      <c r="D32" s="4">
        <v>869</v>
      </c>
      <c r="E32" s="4">
        <v>869</v>
      </c>
      <c r="F32" s="4">
        <v>3</v>
      </c>
      <c r="G32" s="3">
        <f t="shared" si="0"/>
        <v>2607</v>
      </c>
      <c r="H32" s="3" t="s">
        <v>84</v>
      </c>
      <c r="I32" s="3">
        <v>0</v>
      </c>
      <c r="J32" s="6">
        <v>90</v>
      </c>
      <c r="K32" s="3">
        <f t="shared" si="1"/>
        <v>0</v>
      </c>
      <c r="L32" s="3">
        <f t="shared" si="2"/>
        <v>2607</v>
      </c>
    </row>
    <row r="33" ht="18" customHeight="1" spans="1:12">
      <c r="A33" s="4">
        <v>31</v>
      </c>
      <c r="B33" s="3" t="s">
        <v>369</v>
      </c>
      <c r="C33" s="4">
        <v>835</v>
      </c>
      <c r="D33" s="4">
        <v>853</v>
      </c>
      <c r="E33" s="4">
        <v>853</v>
      </c>
      <c r="F33" s="4">
        <v>3</v>
      </c>
      <c r="G33" s="3">
        <f t="shared" si="0"/>
        <v>2559</v>
      </c>
      <c r="H33" s="3" t="s">
        <v>86</v>
      </c>
      <c r="I33" s="3">
        <v>0</v>
      </c>
      <c r="J33" s="3">
        <v>93</v>
      </c>
      <c r="K33" s="3">
        <f t="shared" si="1"/>
        <v>0</v>
      </c>
      <c r="L33" s="3">
        <f t="shared" si="2"/>
        <v>2559</v>
      </c>
    </row>
    <row r="34" ht="18" customHeight="1" spans="1:12">
      <c r="A34" s="3" t="s">
        <v>87</v>
      </c>
      <c r="B34" s="5"/>
      <c r="C34" s="4">
        <f>SUM(C3:C33)</f>
        <v>20791</v>
      </c>
      <c r="D34" s="4">
        <f>SUM(D3:D33)</f>
        <v>20782</v>
      </c>
      <c r="E34" s="4">
        <f>SUM(E3:E33)</f>
        <v>20782</v>
      </c>
      <c r="F34" s="4">
        <v>3</v>
      </c>
      <c r="G34" s="3">
        <f t="shared" si="0"/>
        <v>62346</v>
      </c>
      <c r="H34" s="4"/>
      <c r="I34" s="4"/>
      <c r="J34" s="5"/>
      <c r="K34" s="3">
        <f>SUM(K3:K33)</f>
        <v>12627</v>
      </c>
      <c r="L34" s="3">
        <f>SUM(L3:L33)</f>
        <v>74973</v>
      </c>
    </row>
  </sheetData>
  <mergeCells count="3">
    <mergeCell ref="A1:L1"/>
    <mergeCell ref="H2:J2"/>
    <mergeCell ref="H34:J34"/>
  </mergeCells>
  <pageMargins left="0.75" right="0.75" top="1" bottom="1" header="0.5" footer="0.5"/>
  <pageSetup paperSize="3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workbookViewId="0">
      <selection activeCell="A3" sqref="$A3:$XFD33"/>
    </sheetView>
  </sheetViews>
  <sheetFormatPr defaultColWidth="9" defaultRowHeight="16.8"/>
  <cols>
    <col min="2" max="3" width="14.875" customWidth="1"/>
    <col min="4" max="4" width="17.5" customWidth="1"/>
    <col min="5" max="5" width="15.25" customWidth="1"/>
    <col min="6" max="6" width="21.25" customWidth="1"/>
    <col min="7" max="7" width="21.625" customWidth="1"/>
    <col min="11" max="11" width="23" customWidth="1"/>
    <col min="12" max="12" width="17.625" customWidth="1"/>
  </cols>
  <sheetData>
    <row r="1" ht="28" customHeight="1" spans="1:12">
      <c r="A1" s="1" t="s">
        <v>370</v>
      </c>
      <c r="B1" s="2"/>
      <c r="C1" s="2"/>
      <c r="D1" s="2"/>
      <c r="E1" s="2"/>
      <c r="F1" s="2"/>
      <c r="G1" s="2"/>
      <c r="H1" s="2"/>
      <c r="I1" s="2"/>
      <c r="J1" s="2"/>
      <c r="K1" s="2"/>
      <c r="L1" s="8"/>
    </row>
    <row r="2" ht="23" customHeight="1" spans="1:12">
      <c r="A2" s="3" t="s">
        <v>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6" t="s">
        <v>21</v>
      </c>
      <c r="H2" s="7" t="s">
        <v>22</v>
      </c>
      <c r="I2" s="3"/>
      <c r="J2" s="3"/>
      <c r="K2" s="6" t="s">
        <v>23</v>
      </c>
      <c r="L2" s="3" t="s">
        <v>24</v>
      </c>
    </row>
    <row r="3" ht="18" customHeight="1" spans="1:12">
      <c r="A3" s="3">
        <v>1</v>
      </c>
      <c r="B3" s="3" t="s">
        <v>371</v>
      </c>
      <c r="C3" s="3">
        <v>482</v>
      </c>
      <c r="D3" s="3">
        <v>510</v>
      </c>
      <c r="E3" s="3">
        <v>510</v>
      </c>
      <c r="F3" s="3">
        <v>3</v>
      </c>
      <c r="G3" s="3">
        <f t="shared" ref="G3:G34" si="0">E3*F3</f>
        <v>1530</v>
      </c>
      <c r="H3" s="3" t="s">
        <v>26</v>
      </c>
      <c r="I3" s="3">
        <v>1489</v>
      </c>
      <c r="J3" s="6">
        <v>3</v>
      </c>
      <c r="K3" s="3">
        <f t="shared" ref="K3:K33" si="1">I3*J3</f>
        <v>4467</v>
      </c>
      <c r="L3" s="3">
        <f t="shared" ref="L3:L33" si="2">G3+K3</f>
        <v>5997</v>
      </c>
    </row>
    <row r="4" ht="18" customHeight="1" spans="1:12">
      <c r="A4" s="3">
        <v>2</v>
      </c>
      <c r="B4" s="3" t="s">
        <v>372</v>
      </c>
      <c r="C4" s="3">
        <v>452</v>
      </c>
      <c r="D4" s="3">
        <v>445</v>
      </c>
      <c r="E4" s="3">
        <v>445</v>
      </c>
      <c r="F4" s="4">
        <v>3</v>
      </c>
      <c r="G4" s="3">
        <f t="shared" si="0"/>
        <v>1335</v>
      </c>
      <c r="H4" s="3" t="s">
        <v>28</v>
      </c>
      <c r="I4" s="3">
        <v>340</v>
      </c>
      <c r="J4" s="6">
        <v>6</v>
      </c>
      <c r="K4" s="3">
        <f t="shared" si="1"/>
        <v>2040</v>
      </c>
      <c r="L4" s="3">
        <f t="shared" si="2"/>
        <v>3375</v>
      </c>
    </row>
    <row r="5" ht="18" customHeight="1" spans="1:12">
      <c r="A5" s="3">
        <v>3</v>
      </c>
      <c r="B5" s="3" t="s">
        <v>373</v>
      </c>
      <c r="C5" s="3">
        <v>896</v>
      </c>
      <c r="D5" s="3">
        <v>870</v>
      </c>
      <c r="E5" s="3">
        <v>870</v>
      </c>
      <c r="F5" s="4">
        <v>3</v>
      </c>
      <c r="G5" s="3">
        <f t="shared" si="0"/>
        <v>2610</v>
      </c>
      <c r="H5" s="3" t="s">
        <v>30</v>
      </c>
      <c r="I5" s="3">
        <v>171</v>
      </c>
      <c r="J5" s="6">
        <v>9</v>
      </c>
      <c r="K5" s="3">
        <f t="shared" si="1"/>
        <v>1539</v>
      </c>
      <c r="L5" s="3">
        <f t="shared" si="2"/>
        <v>4149</v>
      </c>
    </row>
    <row r="6" ht="18" customHeight="1" spans="1:12">
      <c r="A6" s="3">
        <v>4</v>
      </c>
      <c r="B6" s="3" t="s">
        <v>374</v>
      </c>
      <c r="C6" s="3">
        <v>855</v>
      </c>
      <c r="D6" s="3">
        <v>853</v>
      </c>
      <c r="E6" s="3">
        <v>853</v>
      </c>
      <c r="F6" s="4">
        <v>3</v>
      </c>
      <c r="G6" s="3">
        <f t="shared" si="0"/>
        <v>2559</v>
      </c>
      <c r="H6" s="3" t="s">
        <v>32</v>
      </c>
      <c r="I6" s="3">
        <v>91</v>
      </c>
      <c r="J6" s="6">
        <v>12</v>
      </c>
      <c r="K6" s="3">
        <f t="shared" si="1"/>
        <v>1092</v>
      </c>
      <c r="L6" s="3">
        <f t="shared" si="2"/>
        <v>3651</v>
      </c>
    </row>
    <row r="7" ht="18" customHeight="1" spans="1:12">
      <c r="A7" s="3">
        <v>5</v>
      </c>
      <c r="B7" s="3" t="s">
        <v>375</v>
      </c>
      <c r="C7" s="3">
        <v>877</v>
      </c>
      <c r="D7" s="3">
        <v>857</v>
      </c>
      <c r="E7" s="3">
        <v>857</v>
      </c>
      <c r="F7" s="4">
        <v>3</v>
      </c>
      <c r="G7" s="3">
        <f t="shared" si="0"/>
        <v>2571</v>
      </c>
      <c r="H7" s="3" t="s">
        <v>34</v>
      </c>
      <c r="I7" s="3">
        <v>47</v>
      </c>
      <c r="J7" s="6">
        <v>15</v>
      </c>
      <c r="K7" s="3">
        <f t="shared" si="1"/>
        <v>705</v>
      </c>
      <c r="L7" s="3">
        <f t="shared" si="2"/>
        <v>3276</v>
      </c>
    </row>
    <row r="8" ht="18" customHeight="1" spans="1:12">
      <c r="A8" s="3">
        <v>6</v>
      </c>
      <c r="B8" s="3" t="s">
        <v>376</v>
      </c>
      <c r="C8" s="4">
        <v>877</v>
      </c>
      <c r="D8" s="4">
        <v>895</v>
      </c>
      <c r="E8" s="4">
        <v>895</v>
      </c>
      <c r="F8" s="4">
        <v>3</v>
      </c>
      <c r="G8" s="3">
        <f t="shared" si="0"/>
        <v>2685</v>
      </c>
      <c r="H8" s="3" t="s">
        <v>36</v>
      </c>
      <c r="I8" s="3">
        <v>39</v>
      </c>
      <c r="J8" s="6">
        <v>18</v>
      </c>
      <c r="K8" s="3">
        <f t="shared" si="1"/>
        <v>702</v>
      </c>
      <c r="L8" s="3">
        <f t="shared" si="2"/>
        <v>3387</v>
      </c>
    </row>
    <row r="9" ht="18" customHeight="1" spans="1:12">
      <c r="A9" s="3">
        <v>7</v>
      </c>
      <c r="B9" s="3" t="s">
        <v>377</v>
      </c>
      <c r="C9" s="4">
        <v>875</v>
      </c>
      <c r="D9" s="4">
        <v>905</v>
      </c>
      <c r="E9" s="4">
        <v>905</v>
      </c>
      <c r="F9" s="4">
        <v>3</v>
      </c>
      <c r="G9" s="3">
        <f t="shared" si="0"/>
        <v>2715</v>
      </c>
      <c r="H9" s="3" t="s">
        <v>38</v>
      </c>
      <c r="I9" s="3">
        <v>25</v>
      </c>
      <c r="J9" s="6">
        <v>21</v>
      </c>
      <c r="K9" s="3">
        <f t="shared" si="1"/>
        <v>525</v>
      </c>
      <c r="L9" s="3">
        <f t="shared" si="2"/>
        <v>3240</v>
      </c>
    </row>
    <row r="10" ht="18" customHeight="1" spans="1:12">
      <c r="A10" s="3">
        <v>8</v>
      </c>
      <c r="B10" s="3" t="s">
        <v>378</v>
      </c>
      <c r="C10" s="4">
        <v>477</v>
      </c>
      <c r="D10" s="4">
        <v>509</v>
      </c>
      <c r="E10" s="4">
        <v>509</v>
      </c>
      <c r="F10" s="4">
        <v>3</v>
      </c>
      <c r="G10" s="3">
        <f t="shared" si="0"/>
        <v>1527</v>
      </c>
      <c r="H10" s="3" t="s">
        <v>40</v>
      </c>
      <c r="I10" s="3">
        <v>7</v>
      </c>
      <c r="J10" s="6">
        <v>24</v>
      </c>
      <c r="K10" s="3">
        <f t="shared" si="1"/>
        <v>168</v>
      </c>
      <c r="L10" s="3">
        <f t="shared" si="2"/>
        <v>1695</v>
      </c>
    </row>
    <row r="11" ht="18" customHeight="1" spans="1:12">
      <c r="A11" s="3">
        <v>9</v>
      </c>
      <c r="B11" s="3" t="s">
        <v>379</v>
      </c>
      <c r="C11" s="4">
        <v>430</v>
      </c>
      <c r="D11" s="4">
        <v>438</v>
      </c>
      <c r="E11" s="4">
        <v>438</v>
      </c>
      <c r="F11" s="4">
        <v>3</v>
      </c>
      <c r="G11" s="3">
        <f t="shared" si="0"/>
        <v>1314</v>
      </c>
      <c r="H11" s="3" t="s">
        <v>42</v>
      </c>
      <c r="I11" s="3">
        <v>5</v>
      </c>
      <c r="J11" s="6">
        <v>27</v>
      </c>
      <c r="K11" s="3">
        <f t="shared" si="1"/>
        <v>135</v>
      </c>
      <c r="L11" s="3">
        <f t="shared" si="2"/>
        <v>1449</v>
      </c>
    </row>
    <row r="12" ht="18" customHeight="1" spans="1:12">
      <c r="A12" s="3">
        <v>10</v>
      </c>
      <c r="B12" s="3" t="s">
        <v>380</v>
      </c>
      <c r="C12" s="4">
        <v>878</v>
      </c>
      <c r="D12" s="4">
        <v>840</v>
      </c>
      <c r="E12" s="4">
        <v>840</v>
      </c>
      <c r="F12" s="4">
        <v>3</v>
      </c>
      <c r="G12" s="3">
        <f t="shared" si="0"/>
        <v>2520</v>
      </c>
      <c r="H12" s="3" t="s">
        <v>44</v>
      </c>
      <c r="I12" s="3">
        <v>6</v>
      </c>
      <c r="J12" s="6">
        <v>30</v>
      </c>
      <c r="K12" s="3">
        <f t="shared" si="1"/>
        <v>180</v>
      </c>
      <c r="L12" s="3">
        <f t="shared" si="2"/>
        <v>2700</v>
      </c>
    </row>
    <row r="13" ht="18" customHeight="1" spans="1:12">
      <c r="A13" s="3">
        <v>11</v>
      </c>
      <c r="B13" s="3" t="s">
        <v>381</v>
      </c>
      <c r="C13" s="4">
        <v>869</v>
      </c>
      <c r="D13" s="4">
        <v>870</v>
      </c>
      <c r="E13" s="4">
        <v>870</v>
      </c>
      <c r="F13" s="4">
        <v>3</v>
      </c>
      <c r="G13" s="3">
        <f t="shared" si="0"/>
        <v>2610</v>
      </c>
      <c r="H13" s="3" t="s">
        <v>46</v>
      </c>
      <c r="I13" s="3">
        <v>3</v>
      </c>
      <c r="J13" s="6">
        <v>33</v>
      </c>
      <c r="K13" s="3">
        <f t="shared" si="1"/>
        <v>99</v>
      </c>
      <c r="L13" s="3">
        <f t="shared" si="2"/>
        <v>2709</v>
      </c>
    </row>
    <row r="14" ht="18" customHeight="1" spans="1:12">
      <c r="A14" s="3">
        <v>12</v>
      </c>
      <c r="B14" s="3" t="s">
        <v>382</v>
      </c>
      <c r="C14" s="4">
        <v>860</v>
      </c>
      <c r="D14" s="4">
        <v>854</v>
      </c>
      <c r="E14" s="4">
        <v>854</v>
      </c>
      <c r="F14" s="4">
        <v>3</v>
      </c>
      <c r="G14" s="3">
        <f t="shared" si="0"/>
        <v>2562</v>
      </c>
      <c r="H14" s="3" t="s">
        <v>48</v>
      </c>
      <c r="I14" s="3">
        <v>7</v>
      </c>
      <c r="J14" s="6">
        <v>36</v>
      </c>
      <c r="K14" s="3">
        <f t="shared" si="1"/>
        <v>252</v>
      </c>
      <c r="L14" s="3">
        <f t="shared" si="2"/>
        <v>2814</v>
      </c>
    </row>
    <row r="15" ht="18" customHeight="1" spans="1:12">
      <c r="A15" s="3">
        <v>13</v>
      </c>
      <c r="B15" s="3" t="s">
        <v>383</v>
      </c>
      <c r="C15" s="4">
        <v>845</v>
      </c>
      <c r="D15" s="4">
        <v>839</v>
      </c>
      <c r="E15" s="4">
        <v>839</v>
      </c>
      <c r="F15" s="4">
        <v>3</v>
      </c>
      <c r="G15" s="3">
        <f t="shared" si="0"/>
        <v>2517</v>
      </c>
      <c r="H15" s="3" t="s">
        <v>50</v>
      </c>
      <c r="I15" s="3">
        <v>4</v>
      </c>
      <c r="J15" s="6">
        <v>39</v>
      </c>
      <c r="K15" s="3">
        <f t="shared" si="1"/>
        <v>156</v>
      </c>
      <c r="L15" s="3">
        <f t="shared" si="2"/>
        <v>2673</v>
      </c>
    </row>
    <row r="16" ht="18" customHeight="1" spans="1:12">
      <c r="A16" s="3">
        <v>14</v>
      </c>
      <c r="B16" s="3" t="s">
        <v>384</v>
      </c>
      <c r="C16" s="4">
        <v>840</v>
      </c>
      <c r="D16" s="4">
        <v>835</v>
      </c>
      <c r="E16" s="4">
        <v>835</v>
      </c>
      <c r="F16" s="4">
        <v>3</v>
      </c>
      <c r="G16" s="3">
        <f t="shared" si="0"/>
        <v>2505</v>
      </c>
      <c r="H16" s="3" t="s">
        <v>52</v>
      </c>
      <c r="I16" s="3">
        <v>3</v>
      </c>
      <c r="J16" s="6">
        <v>42</v>
      </c>
      <c r="K16" s="3">
        <f t="shared" si="1"/>
        <v>126</v>
      </c>
      <c r="L16" s="3">
        <f t="shared" si="2"/>
        <v>2631</v>
      </c>
    </row>
    <row r="17" ht="18" customHeight="1" spans="1:12">
      <c r="A17" s="3">
        <v>15</v>
      </c>
      <c r="B17" s="3" t="s">
        <v>385</v>
      </c>
      <c r="C17" s="4">
        <v>437</v>
      </c>
      <c r="D17" s="4">
        <v>491</v>
      </c>
      <c r="E17" s="4">
        <v>491</v>
      </c>
      <c r="F17" s="4">
        <v>3</v>
      </c>
      <c r="G17" s="3">
        <f t="shared" si="0"/>
        <v>1473</v>
      </c>
      <c r="H17" s="3" t="s">
        <v>54</v>
      </c>
      <c r="I17" s="3">
        <v>0</v>
      </c>
      <c r="J17" s="6">
        <v>45</v>
      </c>
      <c r="K17" s="3">
        <f t="shared" si="1"/>
        <v>0</v>
      </c>
      <c r="L17" s="3">
        <f t="shared" si="2"/>
        <v>1473</v>
      </c>
    </row>
    <row r="18" ht="18" customHeight="1" spans="1:12">
      <c r="A18" s="3">
        <v>16</v>
      </c>
      <c r="B18" s="3" t="s">
        <v>386</v>
      </c>
      <c r="C18" s="4">
        <v>451</v>
      </c>
      <c r="D18" s="4">
        <v>447</v>
      </c>
      <c r="E18" s="4">
        <v>447</v>
      </c>
      <c r="F18" s="4">
        <v>3</v>
      </c>
      <c r="G18" s="3">
        <f t="shared" si="0"/>
        <v>1341</v>
      </c>
      <c r="H18" s="3" t="s">
        <v>56</v>
      </c>
      <c r="I18" s="3">
        <v>3</v>
      </c>
      <c r="J18" s="6">
        <v>48</v>
      </c>
      <c r="K18" s="3">
        <f t="shared" si="1"/>
        <v>144</v>
      </c>
      <c r="L18" s="3">
        <f t="shared" si="2"/>
        <v>1485</v>
      </c>
    </row>
    <row r="19" ht="18" customHeight="1" spans="1:12">
      <c r="A19" s="3">
        <v>17</v>
      </c>
      <c r="B19" s="3" t="s">
        <v>387</v>
      </c>
      <c r="C19" s="4">
        <v>894</v>
      </c>
      <c r="D19" s="4">
        <v>867</v>
      </c>
      <c r="E19" s="4">
        <v>867</v>
      </c>
      <c r="F19" s="4">
        <v>3</v>
      </c>
      <c r="G19" s="3">
        <f t="shared" si="0"/>
        <v>2601</v>
      </c>
      <c r="H19" s="3" t="s">
        <v>58</v>
      </c>
      <c r="I19" s="3">
        <v>3</v>
      </c>
      <c r="J19" s="6">
        <v>51</v>
      </c>
      <c r="K19" s="3">
        <f t="shared" si="1"/>
        <v>153</v>
      </c>
      <c r="L19" s="3">
        <f t="shared" si="2"/>
        <v>2754</v>
      </c>
    </row>
    <row r="20" ht="18" customHeight="1" spans="1:12">
      <c r="A20" s="3">
        <v>18</v>
      </c>
      <c r="B20" s="3" t="s">
        <v>388</v>
      </c>
      <c r="C20" s="4">
        <v>874</v>
      </c>
      <c r="D20" s="4">
        <v>847</v>
      </c>
      <c r="E20" s="4">
        <v>847</v>
      </c>
      <c r="F20" s="4">
        <v>3</v>
      </c>
      <c r="G20" s="3">
        <f t="shared" si="0"/>
        <v>2541</v>
      </c>
      <c r="H20" s="3" t="s">
        <v>60</v>
      </c>
      <c r="I20" s="3">
        <v>1</v>
      </c>
      <c r="J20" s="6">
        <v>54</v>
      </c>
      <c r="K20" s="3">
        <f t="shared" si="1"/>
        <v>54</v>
      </c>
      <c r="L20" s="3">
        <f t="shared" si="2"/>
        <v>2595</v>
      </c>
    </row>
    <row r="21" ht="18" customHeight="1" spans="1:12">
      <c r="A21" s="3">
        <v>19</v>
      </c>
      <c r="B21" s="3" t="s">
        <v>389</v>
      </c>
      <c r="C21" s="4">
        <v>863</v>
      </c>
      <c r="D21" s="4">
        <v>895</v>
      </c>
      <c r="E21" s="4">
        <v>895</v>
      </c>
      <c r="F21" s="4">
        <v>3</v>
      </c>
      <c r="G21" s="3">
        <f t="shared" si="0"/>
        <v>2685</v>
      </c>
      <c r="H21" s="3" t="s">
        <v>62</v>
      </c>
      <c r="I21" s="3">
        <v>2</v>
      </c>
      <c r="J21" s="6">
        <v>57</v>
      </c>
      <c r="K21" s="3">
        <f t="shared" si="1"/>
        <v>114</v>
      </c>
      <c r="L21" s="3">
        <f t="shared" si="2"/>
        <v>2799</v>
      </c>
    </row>
    <row r="22" ht="18" customHeight="1" spans="1:12">
      <c r="A22" s="3">
        <v>20</v>
      </c>
      <c r="B22" s="3" t="s">
        <v>390</v>
      </c>
      <c r="C22" s="4">
        <v>844</v>
      </c>
      <c r="D22" s="4">
        <v>845</v>
      </c>
      <c r="E22" s="4">
        <v>845</v>
      </c>
      <c r="F22" s="4">
        <v>3</v>
      </c>
      <c r="G22" s="3">
        <f t="shared" si="0"/>
        <v>2535</v>
      </c>
      <c r="H22" s="3" t="s">
        <v>64</v>
      </c>
      <c r="I22" s="3">
        <v>0</v>
      </c>
      <c r="J22" s="6">
        <v>60</v>
      </c>
      <c r="K22" s="3">
        <f t="shared" si="1"/>
        <v>0</v>
      </c>
      <c r="L22" s="3">
        <f t="shared" si="2"/>
        <v>2535</v>
      </c>
    </row>
    <row r="23" ht="18" customHeight="1" spans="1:12">
      <c r="A23" s="3">
        <v>21</v>
      </c>
      <c r="B23" s="3" t="s">
        <v>391</v>
      </c>
      <c r="C23" s="4">
        <v>830</v>
      </c>
      <c r="D23" s="4">
        <v>853</v>
      </c>
      <c r="E23" s="4">
        <v>853</v>
      </c>
      <c r="F23" s="4">
        <v>3</v>
      </c>
      <c r="G23" s="3">
        <f t="shared" si="0"/>
        <v>2559</v>
      </c>
      <c r="H23" s="3" t="s">
        <v>66</v>
      </c>
      <c r="I23" s="3">
        <v>1</v>
      </c>
      <c r="J23" s="6">
        <v>63</v>
      </c>
      <c r="K23" s="3">
        <f t="shared" si="1"/>
        <v>63</v>
      </c>
      <c r="L23" s="3">
        <f t="shared" si="2"/>
        <v>2622</v>
      </c>
    </row>
    <row r="24" ht="18" customHeight="1" spans="1:12">
      <c r="A24" s="3">
        <v>22</v>
      </c>
      <c r="B24" s="3" t="s">
        <v>392</v>
      </c>
      <c r="C24" s="4">
        <v>474</v>
      </c>
      <c r="D24" s="4">
        <v>511</v>
      </c>
      <c r="E24" s="4">
        <v>511</v>
      </c>
      <c r="F24" s="4">
        <v>3</v>
      </c>
      <c r="G24" s="3">
        <f t="shared" si="0"/>
        <v>1533</v>
      </c>
      <c r="H24" s="3" t="s">
        <v>68</v>
      </c>
      <c r="I24" s="3">
        <v>2</v>
      </c>
      <c r="J24" s="6">
        <v>66</v>
      </c>
      <c r="K24" s="3">
        <f t="shared" si="1"/>
        <v>132</v>
      </c>
      <c r="L24" s="3">
        <f t="shared" si="2"/>
        <v>1665</v>
      </c>
    </row>
    <row r="25" ht="18" customHeight="1" spans="1:12">
      <c r="A25" s="3">
        <v>23</v>
      </c>
      <c r="B25" s="3" t="s">
        <v>393</v>
      </c>
      <c r="C25" s="4">
        <v>457</v>
      </c>
      <c r="D25" s="4">
        <v>440</v>
      </c>
      <c r="E25" s="4">
        <v>440</v>
      </c>
      <c r="F25" s="4">
        <v>3</v>
      </c>
      <c r="G25" s="3">
        <f t="shared" si="0"/>
        <v>1320</v>
      </c>
      <c r="H25" s="3" t="s">
        <v>70</v>
      </c>
      <c r="I25" s="3">
        <v>2</v>
      </c>
      <c r="J25" s="6">
        <v>69</v>
      </c>
      <c r="K25" s="3">
        <f t="shared" si="1"/>
        <v>138</v>
      </c>
      <c r="L25" s="3">
        <f t="shared" si="2"/>
        <v>1458</v>
      </c>
    </row>
    <row r="26" ht="18" customHeight="1" spans="1:12">
      <c r="A26" s="3">
        <v>24</v>
      </c>
      <c r="B26" s="3" t="s">
        <v>394</v>
      </c>
      <c r="C26" s="4">
        <v>886</v>
      </c>
      <c r="D26" s="4">
        <v>870</v>
      </c>
      <c r="E26" s="4">
        <v>870</v>
      </c>
      <c r="F26" s="4">
        <v>3</v>
      </c>
      <c r="G26" s="3">
        <f t="shared" si="0"/>
        <v>2610</v>
      </c>
      <c r="H26" s="3" t="s">
        <v>72</v>
      </c>
      <c r="I26" s="3">
        <v>1</v>
      </c>
      <c r="J26" s="6">
        <v>72</v>
      </c>
      <c r="K26" s="3">
        <f t="shared" si="1"/>
        <v>72</v>
      </c>
      <c r="L26" s="3">
        <f t="shared" si="2"/>
        <v>2682</v>
      </c>
    </row>
    <row r="27" ht="18" customHeight="1" spans="1:12">
      <c r="A27" s="3">
        <v>25</v>
      </c>
      <c r="B27" s="3" t="s">
        <v>395</v>
      </c>
      <c r="C27" s="4">
        <v>857</v>
      </c>
      <c r="D27" s="4">
        <v>863</v>
      </c>
      <c r="E27" s="4">
        <v>863</v>
      </c>
      <c r="F27" s="4">
        <v>3</v>
      </c>
      <c r="G27" s="3">
        <f t="shared" si="0"/>
        <v>2589</v>
      </c>
      <c r="H27" s="3" t="s">
        <v>74</v>
      </c>
      <c r="I27" s="3">
        <v>1</v>
      </c>
      <c r="J27" s="6">
        <v>75</v>
      </c>
      <c r="K27" s="3">
        <f t="shared" si="1"/>
        <v>75</v>
      </c>
      <c r="L27" s="3">
        <f t="shared" si="2"/>
        <v>2664</v>
      </c>
    </row>
    <row r="28" ht="18" customHeight="1" spans="1:12">
      <c r="A28" s="3">
        <v>26</v>
      </c>
      <c r="B28" s="3" t="s">
        <v>396</v>
      </c>
      <c r="C28" s="4">
        <v>877</v>
      </c>
      <c r="D28" s="4">
        <v>882</v>
      </c>
      <c r="E28" s="4">
        <v>882</v>
      </c>
      <c r="F28" s="4">
        <v>3</v>
      </c>
      <c r="G28" s="3">
        <f t="shared" si="0"/>
        <v>2646</v>
      </c>
      <c r="H28" s="3" t="s">
        <v>76</v>
      </c>
      <c r="I28" s="3">
        <v>2</v>
      </c>
      <c r="J28" s="6">
        <v>78</v>
      </c>
      <c r="K28" s="3">
        <f t="shared" si="1"/>
        <v>156</v>
      </c>
      <c r="L28" s="3">
        <f t="shared" si="2"/>
        <v>2802</v>
      </c>
    </row>
    <row r="29" ht="18" customHeight="1" spans="1:12">
      <c r="A29" s="3">
        <v>27</v>
      </c>
      <c r="B29" s="3" t="s">
        <v>397</v>
      </c>
      <c r="C29" s="4">
        <v>873</v>
      </c>
      <c r="D29" s="4">
        <v>863</v>
      </c>
      <c r="E29" s="4">
        <v>863</v>
      </c>
      <c r="F29" s="4">
        <v>3</v>
      </c>
      <c r="G29" s="3">
        <f t="shared" si="0"/>
        <v>2589</v>
      </c>
      <c r="H29" s="3" t="s">
        <v>78</v>
      </c>
      <c r="I29" s="3">
        <v>2</v>
      </c>
      <c r="J29" s="6">
        <v>81</v>
      </c>
      <c r="K29" s="3">
        <f t="shared" si="1"/>
        <v>162</v>
      </c>
      <c r="L29" s="3">
        <f t="shared" si="2"/>
        <v>2751</v>
      </c>
    </row>
    <row r="30" ht="18" customHeight="1" spans="1:12">
      <c r="A30" s="3">
        <v>28</v>
      </c>
      <c r="B30" s="3" t="s">
        <v>398</v>
      </c>
      <c r="C30" s="4">
        <v>879</v>
      </c>
      <c r="D30" s="4">
        <v>902</v>
      </c>
      <c r="E30" s="4">
        <v>902</v>
      </c>
      <c r="F30" s="4">
        <v>3</v>
      </c>
      <c r="G30" s="3">
        <f t="shared" si="0"/>
        <v>2706</v>
      </c>
      <c r="H30" s="3" t="s">
        <v>80</v>
      </c>
      <c r="I30" s="3">
        <v>0</v>
      </c>
      <c r="J30" s="6">
        <v>84</v>
      </c>
      <c r="K30" s="3">
        <f t="shared" si="1"/>
        <v>0</v>
      </c>
      <c r="L30" s="3">
        <f t="shared" si="2"/>
        <v>2706</v>
      </c>
    </row>
    <row r="31" ht="18" customHeight="1" spans="1:12">
      <c r="A31" s="3">
        <v>29</v>
      </c>
      <c r="B31" s="3" t="s">
        <v>399</v>
      </c>
      <c r="C31" s="4">
        <v>468</v>
      </c>
      <c r="D31" s="4">
        <v>497</v>
      </c>
      <c r="E31" s="4">
        <v>497</v>
      </c>
      <c r="F31" s="4">
        <v>3</v>
      </c>
      <c r="G31" s="3">
        <f t="shared" si="0"/>
        <v>1491</v>
      </c>
      <c r="H31" s="3" t="s">
        <v>82</v>
      </c>
      <c r="I31" s="3">
        <v>0</v>
      </c>
      <c r="J31" s="6">
        <v>87</v>
      </c>
      <c r="K31" s="3">
        <f t="shared" si="1"/>
        <v>0</v>
      </c>
      <c r="L31" s="3">
        <f t="shared" si="2"/>
        <v>1491</v>
      </c>
    </row>
    <row r="32" ht="18" customHeight="1" spans="1:12">
      <c r="A32" s="3">
        <v>30</v>
      </c>
      <c r="B32" s="3" t="s">
        <v>400</v>
      </c>
      <c r="C32" s="4">
        <v>476</v>
      </c>
      <c r="D32" s="4">
        <v>453</v>
      </c>
      <c r="E32" s="4">
        <v>453</v>
      </c>
      <c r="F32" s="4">
        <v>3</v>
      </c>
      <c r="G32" s="3">
        <f t="shared" si="0"/>
        <v>1359</v>
      </c>
      <c r="H32" s="3" t="s">
        <v>84</v>
      </c>
      <c r="I32" s="3">
        <v>1</v>
      </c>
      <c r="J32" s="6">
        <v>90</v>
      </c>
      <c r="K32" s="3">
        <f t="shared" si="1"/>
        <v>90</v>
      </c>
      <c r="L32" s="3">
        <f t="shared" si="2"/>
        <v>1449</v>
      </c>
    </row>
    <row r="33" ht="18" customHeight="1" spans="1:12">
      <c r="A33" s="3" t="s">
        <v>87</v>
      </c>
      <c r="B33" s="5"/>
      <c r="C33" s="4">
        <f>SUM(C3:C32)</f>
        <v>21953</v>
      </c>
      <c r="D33" s="4">
        <f>SUM(D3:D32)</f>
        <v>22046</v>
      </c>
      <c r="E33" s="4">
        <f>SUM(E3:E32)</f>
        <v>22046</v>
      </c>
      <c r="F33" s="4">
        <v>3</v>
      </c>
      <c r="G33" s="3">
        <f t="shared" si="0"/>
        <v>66138</v>
      </c>
      <c r="H33" s="4"/>
      <c r="I33" s="4"/>
      <c r="J33" s="5"/>
      <c r="K33" s="3">
        <f>SUM(K3:K32)</f>
        <v>13539</v>
      </c>
      <c r="L33" s="3">
        <f>SUM(L3:L32)</f>
        <v>79677</v>
      </c>
    </row>
  </sheetData>
  <mergeCells count="3">
    <mergeCell ref="A1:L1"/>
    <mergeCell ref="H2:J2"/>
    <mergeCell ref="H33:J33"/>
  </mergeCells>
  <pageMargins left="0.75" right="0.75" top="1" bottom="1" header="0.5" footer="0.5"/>
  <pageSetup paperSize="3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abSelected="1" workbookViewId="0">
      <selection activeCell="A1" sqref="A1:L1"/>
    </sheetView>
  </sheetViews>
  <sheetFormatPr defaultColWidth="9" defaultRowHeight="16.8"/>
  <cols>
    <col min="2" max="2" width="16.5" customWidth="1"/>
    <col min="3" max="3" width="18.125" customWidth="1"/>
    <col min="4" max="4" width="18.25" customWidth="1"/>
    <col min="5" max="5" width="15.25" customWidth="1"/>
    <col min="6" max="6" width="18.5" customWidth="1"/>
    <col min="7" max="7" width="19.5" customWidth="1"/>
    <col min="11" max="11" width="22.75" customWidth="1"/>
    <col min="12" max="12" width="21.625" customWidth="1"/>
  </cols>
  <sheetData>
    <row r="1" ht="28" customHeight="1" spans="1:12">
      <c r="A1" s="1" t="s">
        <v>401</v>
      </c>
      <c r="B1" s="2"/>
      <c r="C1" s="2"/>
      <c r="D1" s="2"/>
      <c r="E1" s="2"/>
      <c r="F1" s="2"/>
      <c r="G1" s="2"/>
      <c r="H1" s="2"/>
      <c r="I1" s="2"/>
      <c r="J1" s="2"/>
      <c r="K1" s="2"/>
      <c r="L1" s="8"/>
    </row>
    <row r="2" ht="24" customHeight="1" spans="1:12">
      <c r="A2" s="3" t="s">
        <v>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6" t="s">
        <v>21</v>
      </c>
      <c r="H2" s="7" t="s">
        <v>22</v>
      </c>
      <c r="I2" s="3"/>
      <c r="J2" s="3"/>
      <c r="K2" s="6" t="s">
        <v>23</v>
      </c>
      <c r="L2" s="3" t="s">
        <v>24</v>
      </c>
    </row>
    <row r="3" ht="18" customHeight="1" spans="1:12">
      <c r="A3" s="3">
        <v>1</v>
      </c>
      <c r="B3" s="3" t="s">
        <v>402</v>
      </c>
      <c r="C3" s="3">
        <v>916</v>
      </c>
      <c r="D3" s="3">
        <v>906</v>
      </c>
      <c r="E3" s="3">
        <v>906</v>
      </c>
      <c r="F3" s="3">
        <v>3</v>
      </c>
      <c r="G3" s="3">
        <f t="shared" ref="G3:G34" si="0">E3*F3</f>
        <v>2718</v>
      </c>
      <c r="H3" s="3" t="s">
        <v>26</v>
      </c>
      <c r="I3" s="3">
        <v>1720</v>
      </c>
      <c r="J3" s="6">
        <v>3</v>
      </c>
      <c r="K3" s="3">
        <f t="shared" ref="K3:K33" si="1">I3*J3</f>
        <v>5160</v>
      </c>
      <c r="L3" s="3">
        <f t="shared" ref="L3:L33" si="2">G3+K3</f>
        <v>7878</v>
      </c>
    </row>
    <row r="4" ht="18" customHeight="1" spans="1:12">
      <c r="A4" s="3">
        <v>2</v>
      </c>
      <c r="B4" s="3" t="s">
        <v>403</v>
      </c>
      <c r="C4" s="3">
        <v>880</v>
      </c>
      <c r="D4" s="3">
        <v>865</v>
      </c>
      <c r="E4" s="3">
        <v>865</v>
      </c>
      <c r="F4" s="4">
        <v>3</v>
      </c>
      <c r="G4" s="3">
        <f t="shared" si="0"/>
        <v>2595</v>
      </c>
      <c r="H4" s="3" t="s">
        <v>28</v>
      </c>
      <c r="I4" s="3">
        <v>334</v>
      </c>
      <c r="J4" s="6">
        <v>6</v>
      </c>
      <c r="K4" s="3">
        <f t="shared" si="1"/>
        <v>2004</v>
      </c>
      <c r="L4" s="3">
        <f t="shared" si="2"/>
        <v>4599</v>
      </c>
    </row>
    <row r="5" ht="18" customHeight="1" spans="1:12">
      <c r="A5" s="3">
        <v>3</v>
      </c>
      <c r="B5" s="3" t="s">
        <v>404</v>
      </c>
      <c r="C5" s="3">
        <v>896</v>
      </c>
      <c r="D5" s="3">
        <v>910</v>
      </c>
      <c r="E5" s="3">
        <v>910</v>
      </c>
      <c r="F5" s="4">
        <v>3</v>
      </c>
      <c r="G5" s="3">
        <f t="shared" si="0"/>
        <v>2730</v>
      </c>
      <c r="H5" s="3" t="s">
        <v>30</v>
      </c>
      <c r="I5" s="3">
        <v>174</v>
      </c>
      <c r="J5" s="6">
        <v>9</v>
      </c>
      <c r="K5" s="3">
        <f t="shared" si="1"/>
        <v>1566</v>
      </c>
      <c r="L5" s="3">
        <f t="shared" si="2"/>
        <v>4296</v>
      </c>
    </row>
    <row r="6" ht="18" customHeight="1" spans="1:12">
      <c r="A6" s="3">
        <v>4</v>
      </c>
      <c r="B6" s="3" t="s">
        <v>405</v>
      </c>
      <c r="C6" s="3">
        <v>899</v>
      </c>
      <c r="D6" s="3">
        <v>894</v>
      </c>
      <c r="E6" s="3">
        <v>894</v>
      </c>
      <c r="F6" s="4">
        <v>3</v>
      </c>
      <c r="G6" s="3">
        <f t="shared" si="0"/>
        <v>2682</v>
      </c>
      <c r="H6" s="3" t="s">
        <v>32</v>
      </c>
      <c r="I6" s="3">
        <v>129</v>
      </c>
      <c r="J6" s="6">
        <v>12</v>
      </c>
      <c r="K6" s="3">
        <f t="shared" si="1"/>
        <v>1548</v>
      </c>
      <c r="L6" s="3">
        <f t="shared" si="2"/>
        <v>4230</v>
      </c>
    </row>
    <row r="7" ht="18" customHeight="1" spans="1:12">
      <c r="A7" s="3">
        <v>5</v>
      </c>
      <c r="B7" s="3" t="s">
        <v>406</v>
      </c>
      <c r="C7" s="3">
        <v>885</v>
      </c>
      <c r="D7" s="3">
        <v>896</v>
      </c>
      <c r="E7" s="3">
        <v>896</v>
      </c>
      <c r="F7" s="4">
        <v>3</v>
      </c>
      <c r="G7" s="3">
        <f t="shared" si="0"/>
        <v>2688</v>
      </c>
      <c r="H7" s="3" t="s">
        <v>34</v>
      </c>
      <c r="I7" s="3">
        <v>59</v>
      </c>
      <c r="J7" s="6">
        <v>15</v>
      </c>
      <c r="K7" s="3">
        <f t="shared" si="1"/>
        <v>885</v>
      </c>
      <c r="L7" s="3">
        <f t="shared" si="2"/>
        <v>3573</v>
      </c>
    </row>
    <row r="8" ht="18" customHeight="1" spans="1:12">
      <c r="A8" s="3">
        <v>6</v>
      </c>
      <c r="B8" s="3" t="s">
        <v>407</v>
      </c>
      <c r="C8" s="4">
        <v>459</v>
      </c>
      <c r="D8" s="4">
        <v>489</v>
      </c>
      <c r="E8" s="4">
        <v>489</v>
      </c>
      <c r="F8" s="4">
        <v>3</v>
      </c>
      <c r="G8" s="3">
        <f t="shared" si="0"/>
        <v>1467</v>
      </c>
      <c r="H8" s="3" t="s">
        <v>36</v>
      </c>
      <c r="I8" s="3">
        <v>34</v>
      </c>
      <c r="J8" s="6">
        <v>18</v>
      </c>
      <c r="K8" s="3">
        <f t="shared" si="1"/>
        <v>612</v>
      </c>
      <c r="L8" s="3">
        <f t="shared" si="2"/>
        <v>2079</v>
      </c>
    </row>
    <row r="9" ht="18" customHeight="1" spans="1:12">
      <c r="A9" s="3">
        <v>7</v>
      </c>
      <c r="B9" s="3" t="s">
        <v>408</v>
      </c>
      <c r="C9" s="4">
        <v>473</v>
      </c>
      <c r="D9" s="4">
        <v>473</v>
      </c>
      <c r="E9" s="4">
        <v>473</v>
      </c>
      <c r="F9" s="4">
        <v>3</v>
      </c>
      <c r="G9" s="3">
        <f t="shared" si="0"/>
        <v>1419</v>
      </c>
      <c r="H9" s="3" t="s">
        <v>38</v>
      </c>
      <c r="I9" s="3">
        <v>17</v>
      </c>
      <c r="J9" s="6">
        <v>21</v>
      </c>
      <c r="K9" s="3">
        <f t="shared" si="1"/>
        <v>357</v>
      </c>
      <c r="L9" s="3">
        <f t="shared" si="2"/>
        <v>1776</v>
      </c>
    </row>
    <row r="10" ht="18" customHeight="1" spans="1:12">
      <c r="A10" s="3">
        <v>8</v>
      </c>
      <c r="B10" s="3" t="s">
        <v>409</v>
      </c>
      <c r="C10" s="4">
        <v>884</v>
      </c>
      <c r="D10" s="4">
        <v>855</v>
      </c>
      <c r="E10" s="4">
        <v>855</v>
      </c>
      <c r="F10" s="4">
        <v>3</v>
      </c>
      <c r="G10" s="3">
        <f t="shared" si="0"/>
        <v>2565</v>
      </c>
      <c r="H10" s="3" t="s">
        <v>40</v>
      </c>
      <c r="I10" s="3">
        <v>16</v>
      </c>
      <c r="J10" s="6">
        <v>24</v>
      </c>
      <c r="K10" s="3">
        <f t="shared" si="1"/>
        <v>384</v>
      </c>
      <c r="L10" s="3">
        <f t="shared" si="2"/>
        <v>2949</v>
      </c>
    </row>
    <row r="11" ht="18" customHeight="1" spans="1:12">
      <c r="A11" s="3">
        <v>9</v>
      </c>
      <c r="B11" s="3" t="s">
        <v>410</v>
      </c>
      <c r="C11" s="4">
        <v>873</v>
      </c>
      <c r="D11" s="4">
        <v>865</v>
      </c>
      <c r="E11" s="4">
        <v>865</v>
      </c>
      <c r="F11" s="4">
        <v>3</v>
      </c>
      <c r="G11" s="3">
        <f t="shared" si="0"/>
        <v>2595</v>
      </c>
      <c r="H11" s="3" t="s">
        <v>42</v>
      </c>
      <c r="I11" s="3">
        <v>13</v>
      </c>
      <c r="J11" s="6">
        <v>27</v>
      </c>
      <c r="K11" s="3">
        <f t="shared" si="1"/>
        <v>351</v>
      </c>
      <c r="L11" s="3">
        <f t="shared" si="2"/>
        <v>2946</v>
      </c>
    </row>
    <row r="12" ht="18" customHeight="1" spans="1:12">
      <c r="A12" s="3">
        <v>10</v>
      </c>
      <c r="B12" s="3" t="s">
        <v>411</v>
      </c>
      <c r="C12" s="4">
        <v>863</v>
      </c>
      <c r="D12" s="4">
        <v>892</v>
      </c>
      <c r="E12" s="4">
        <v>892</v>
      </c>
      <c r="F12" s="4">
        <v>3</v>
      </c>
      <c r="G12" s="3">
        <f t="shared" si="0"/>
        <v>2676</v>
      </c>
      <c r="H12" s="3" t="s">
        <v>44</v>
      </c>
      <c r="I12" s="3">
        <v>12</v>
      </c>
      <c r="J12" s="6">
        <v>30</v>
      </c>
      <c r="K12" s="3">
        <f t="shared" si="1"/>
        <v>360</v>
      </c>
      <c r="L12" s="3">
        <f t="shared" si="2"/>
        <v>3036</v>
      </c>
    </row>
    <row r="13" ht="18" customHeight="1" spans="1:12">
      <c r="A13" s="3">
        <v>11</v>
      </c>
      <c r="B13" s="3" t="s">
        <v>412</v>
      </c>
      <c r="C13" s="4">
        <v>908</v>
      </c>
      <c r="D13" s="4">
        <v>887</v>
      </c>
      <c r="E13" s="4">
        <v>887</v>
      </c>
      <c r="F13" s="4">
        <v>3</v>
      </c>
      <c r="G13" s="3">
        <f t="shared" si="0"/>
        <v>2661</v>
      </c>
      <c r="H13" s="3" t="s">
        <v>46</v>
      </c>
      <c r="I13" s="3">
        <v>9</v>
      </c>
      <c r="J13" s="6">
        <v>33</v>
      </c>
      <c r="K13" s="3">
        <f t="shared" si="1"/>
        <v>297</v>
      </c>
      <c r="L13" s="3">
        <f t="shared" si="2"/>
        <v>2958</v>
      </c>
    </row>
    <row r="14" ht="18" customHeight="1" spans="1:12">
      <c r="A14" s="3">
        <v>12</v>
      </c>
      <c r="B14" s="3" t="s">
        <v>413</v>
      </c>
      <c r="C14" s="4">
        <v>882</v>
      </c>
      <c r="D14" s="4">
        <v>831</v>
      </c>
      <c r="E14" s="4">
        <v>831</v>
      </c>
      <c r="F14" s="4">
        <v>3</v>
      </c>
      <c r="G14" s="3">
        <f t="shared" si="0"/>
        <v>2493</v>
      </c>
      <c r="H14" s="3" t="s">
        <v>48</v>
      </c>
      <c r="I14" s="3">
        <v>8</v>
      </c>
      <c r="J14" s="6">
        <v>36</v>
      </c>
      <c r="K14" s="3">
        <f t="shared" si="1"/>
        <v>288</v>
      </c>
      <c r="L14" s="3">
        <f t="shared" si="2"/>
        <v>2781</v>
      </c>
    </row>
    <row r="15" ht="18" customHeight="1" spans="1:12">
      <c r="A15" s="3">
        <v>13</v>
      </c>
      <c r="B15" s="3" t="s">
        <v>414</v>
      </c>
      <c r="C15" s="4">
        <v>549</v>
      </c>
      <c r="D15" s="4">
        <v>663</v>
      </c>
      <c r="E15" s="4">
        <v>663</v>
      </c>
      <c r="F15" s="4">
        <v>3</v>
      </c>
      <c r="G15" s="3">
        <f t="shared" si="0"/>
        <v>1989</v>
      </c>
      <c r="H15" s="3" t="s">
        <v>50</v>
      </c>
      <c r="I15" s="3">
        <v>8</v>
      </c>
      <c r="J15" s="6">
        <v>39</v>
      </c>
      <c r="K15" s="3">
        <f t="shared" si="1"/>
        <v>312</v>
      </c>
      <c r="L15" s="3">
        <f t="shared" si="2"/>
        <v>2301</v>
      </c>
    </row>
    <row r="16" ht="18" customHeight="1" spans="1:12">
      <c r="A16" s="3">
        <v>14</v>
      </c>
      <c r="B16" s="3" t="s">
        <v>415</v>
      </c>
      <c r="C16" s="4">
        <v>584</v>
      </c>
      <c r="D16" s="4">
        <v>599</v>
      </c>
      <c r="E16" s="4">
        <v>599</v>
      </c>
      <c r="F16" s="4">
        <v>3</v>
      </c>
      <c r="G16" s="3">
        <f t="shared" si="0"/>
        <v>1797</v>
      </c>
      <c r="H16" s="3" t="s">
        <v>52</v>
      </c>
      <c r="I16" s="3">
        <v>4</v>
      </c>
      <c r="J16" s="6">
        <v>42</v>
      </c>
      <c r="K16" s="3">
        <f t="shared" si="1"/>
        <v>168</v>
      </c>
      <c r="L16" s="3">
        <f t="shared" si="2"/>
        <v>1965</v>
      </c>
    </row>
    <row r="17" ht="18" customHeight="1" spans="1:12">
      <c r="A17" s="3">
        <v>15</v>
      </c>
      <c r="B17" s="3" t="s">
        <v>416</v>
      </c>
      <c r="C17" s="4">
        <v>909</v>
      </c>
      <c r="D17" s="4">
        <v>900</v>
      </c>
      <c r="E17" s="4">
        <v>900</v>
      </c>
      <c r="F17" s="4">
        <v>3</v>
      </c>
      <c r="G17" s="3">
        <f t="shared" si="0"/>
        <v>2700</v>
      </c>
      <c r="H17" s="3" t="s">
        <v>54</v>
      </c>
      <c r="I17" s="3">
        <v>3</v>
      </c>
      <c r="J17" s="6">
        <v>45</v>
      </c>
      <c r="K17" s="3">
        <f t="shared" si="1"/>
        <v>135</v>
      </c>
      <c r="L17" s="3">
        <f t="shared" si="2"/>
        <v>2835</v>
      </c>
    </row>
    <row r="18" ht="18" customHeight="1" spans="1:12">
      <c r="A18" s="3">
        <v>16</v>
      </c>
      <c r="B18" s="3" t="s">
        <v>417</v>
      </c>
      <c r="C18" s="4">
        <v>915</v>
      </c>
      <c r="D18" s="4">
        <v>901</v>
      </c>
      <c r="E18" s="4">
        <v>901</v>
      </c>
      <c r="F18" s="4">
        <v>3</v>
      </c>
      <c r="G18" s="3">
        <f t="shared" si="0"/>
        <v>2703</v>
      </c>
      <c r="H18" s="3" t="s">
        <v>56</v>
      </c>
      <c r="I18" s="3">
        <v>6</v>
      </c>
      <c r="J18" s="6">
        <v>48</v>
      </c>
      <c r="K18" s="3">
        <f t="shared" si="1"/>
        <v>288</v>
      </c>
      <c r="L18" s="3">
        <f t="shared" si="2"/>
        <v>2991</v>
      </c>
    </row>
    <row r="19" ht="18" customHeight="1" spans="1:12">
      <c r="A19" s="3">
        <v>17</v>
      </c>
      <c r="B19" s="3" t="s">
        <v>418</v>
      </c>
      <c r="C19" s="4">
        <v>893</v>
      </c>
      <c r="D19" s="4">
        <v>898</v>
      </c>
      <c r="E19" s="4">
        <v>898</v>
      </c>
      <c r="F19" s="4">
        <v>3</v>
      </c>
      <c r="G19" s="3">
        <f t="shared" si="0"/>
        <v>2694</v>
      </c>
      <c r="H19" s="3" t="s">
        <v>58</v>
      </c>
      <c r="I19" s="3">
        <v>0</v>
      </c>
      <c r="J19" s="6">
        <v>51</v>
      </c>
      <c r="K19" s="3">
        <f t="shared" si="1"/>
        <v>0</v>
      </c>
      <c r="L19" s="3">
        <f t="shared" si="2"/>
        <v>2694</v>
      </c>
    </row>
    <row r="20" ht="18" customHeight="1" spans="1:12">
      <c r="A20" s="3">
        <v>18</v>
      </c>
      <c r="B20" s="3" t="s">
        <v>419</v>
      </c>
      <c r="C20" s="4">
        <v>891</v>
      </c>
      <c r="D20" s="4">
        <v>874</v>
      </c>
      <c r="E20" s="4">
        <v>874</v>
      </c>
      <c r="F20" s="4">
        <v>3</v>
      </c>
      <c r="G20" s="3">
        <f t="shared" si="0"/>
        <v>2622</v>
      </c>
      <c r="H20" s="3" t="s">
        <v>60</v>
      </c>
      <c r="I20" s="3">
        <v>3</v>
      </c>
      <c r="J20" s="6">
        <v>54</v>
      </c>
      <c r="K20" s="3">
        <f t="shared" si="1"/>
        <v>162</v>
      </c>
      <c r="L20" s="3">
        <f t="shared" si="2"/>
        <v>2784</v>
      </c>
    </row>
    <row r="21" ht="18" customHeight="1" spans="1:12">
      <c r="A21" s="3">
        <v>19</v>
      </c>
      <c r="B21" s="3" t="s">
        <v>420</v>
      </c>
      <c r="C21" s="4">
        <v>873</v>
      </c>
      <c r="D21" s="4">
        <v>892</v>
      </c>
      <c r="E21" s="4">
        <v>892</v>
      </c>
      <c r="F21" s="4">
        <v>3</v>
      </c>
      <c r="G21" s="3">
        <f t="shared" si="0"/>
        <v>2676</v>
      </c>
      <c r="H21" s="3" t="s">
        <v>62</v>
      </c>
      <c r="I21" s="3">
        <v>2</v>
      </c>
      <c r="J21" s="6">
        <v>57</v>
      </c>
      <c r="K21" s="3">
        <f t="shared" si="1"/>
        <v>114</v>
      </c>
      <c r="L21" s="3">
        <f t="shared" si="2"/>
        <v>2790</v>
      </c>
    </row>
    <row r="22" ht="18" customHeight="1" spans="1:12">
      <c r="A22" s="3">
        <v>20</v>
      </c>
      <c r="B22" s="3" t="s">
        <v>421</v>
      </c>
      <c r="C22" s="4">
        <v>492</v>
      </c>
      <c r="D22" s="4">
        <v>544</v>
      </c>
      <c r="E22" s="4">
        <v>544</v>
      </c>
      <c r="F22" s="4">
        <v>3</v>
      </c>
      <c r="G22" s="3">
        <f t="shared" si="0"/>
        <v>1632</v>
      </c>
      <c r="H22" s="3" t="s">
        <v>64</v>
      </c>
      <c r="I22" s="3">
        <v>1</v>
      </c>
      <c r="J22" s="6">
        <v>60</v>
      </c>
      <c r="K22" s="3">
        <f t="shared" si="1"/>
        <v>60</v>
      </c>
      <c r="L22" s="3">
        <f t="shared" si="2"/>
        <v>1692</v>
      </c>
    </row>
    <row r="23" ht="18" customHeight="1" spans="1:12">
      <c r="A23" s="3">
        <v>21</v>
      </c>
      <c r="B23" s="3" t="s">
        <v>422</v>
      </c>
      <c r="C23" s="4">
        <v>468</v>
      </c>
      <c r="D23" s="4">
        <v>464</v>
      </c>
      <c r="E23" s="4">
        <v>464</v>
      </c>
      <c r="F23" s="4">
        <v>3</v>
      </c>
      <c r="G23" s="3">
        <f t="shared" si="0"/>
        <v>1392</v>
      </c>
      <c r="H23" s="3" t="s">
        <v>66</v>
      </c>
      <c r="I23" s="3">
        <v>2</v>
      </c>
      <c r="J23" s="6">
        <v>63</v>
      </c>
      <c r="K23" s="3">
        <f t="shared" si="1"/>
        <v>126</v>
      </c>
      <c r="L23" s="3">
        <f t="shared" si="2"/>
        <v>1518</v>
      </c>
    </row>
    <row r="24" ht="18" customHeight="1" spans="1:12">
      <c r="A24" s="3">
        <v>22</v>
      </c>
      <c r="B24" s="3" t="s">
        <v>423</v>
      </c>
      <c r="C24" s="4">
        <v>917</v>
      </c>
      <c r="D24" s="4">
        <v>878</v>
      </c>
      <c r="E24" s="4">
        <v>878</v>
      </c>
      <c r="F24" s="4">
        <v>3</v>
      </c>
      <c r="G24" s="3">
        <f t="shared" si="0"/>
        <v>2634</v>
      </c>
      <c r="H24" s="3" t="s">
        <v>68</v>
      </c>
      <c r="I24" s="3">
        <v>0</v>
      </c>
      <c r="J24" s="6">
        <v>66</v>
      </c>
      <c r="K24" s="3">
        <f t="shared" si="1"/>
        <v>0</v>
      </c>
      <c r="L24" s="3">
        <f t="shared" si="2"/>
        <v>2634</v>
      </c>
    </row>
    <row r="25" ht="18" customHeight="1" spans="1:12">
      <c r="A25" s="3">
        <v>23</v>
      </c>
      <c r="B25" s="3" t="s">
        <v>424</v>
      </c>
      <c r="C25" s="4">
        <v>893</v>
      </c>
      <c r="D25" s="4">
        <v>898</v>
      </c>
      <c r="E25" s="4">
        <v>898</v>
      </c>
      <c r="F25" s="4">
        <v>3</v>
      </c>
      <c r="G25" s="3">
        <f t="shared" si="0"/>
        <v>2694</v>
      </c>
      <c r="H25" s="3" t="s">
        <v>70</v>
      </c>
      <c r="I25" s="3">
        <v>1</v>
      </c>
      <c r="J25" s="6">
        <v>69</v>
      </c>
      <c r="K25" s="3">
        <f t="shared" si="1"/>
        <v>69</v>
      </c>
      <c r="L25" s="3">
        <f t="shared" si="2"/>
        <v>2763</v>
      </c>
    </row>
    <row r="26" ht="18" customHeight="1" spans="1:12">
      <c r="A26" s="3">
        <v>24</v>
      </c>
      <c r="B26" s="3" t="s">
        <v>425</v>
      </c>
      <c r="C26" s="4">
        <v>940</v>
      </c>
      <c r="D26" s="4">
        <v>904</v>
      </c>
      <c r="E26" s="4">
        <v>904</v>
      </c>
      <c r="F26" s="4">
        <v>3</v>
      </c>
      <c r="G26" s="3">
        <f t="shared" si="0"/>
        <v>2712</v>
      </c>
      <c r="H26" s="3" t="s">
        <v>72</v>
      </c>
      <c r="I26" s="3">
        <v>1</v>
      </c>
      <c r="J26" s="6">
        <v>72</v>
      </c>
      <c r="K26" s="3">
        <f t="shared" si="1"/>
        <v>72</v>
      </c>
      <c r="L26" s="3">
        <f t="shared" si="2"/>
        <v>2784</v>
      </c>
    </row>
    <row r="27" ht="18" customHeight="1" spans="1:12">
      <c r="A27" s="3">
        <v>25</v>
      </c>
      <c r="B27" s="3" t="s">
        <v>426</v>
      </c>
      <c r="C27" s="4">
        <v>897</v>
      </c>
      <c r="D27" s="4">
        <v>908</v>
      </c>
      <c r="E27" s="4">
        <v>908</v>
      </c>
      <c r="F27" s="4">
        <v>3</v>
      </c>
      <c r="G27" s="3">
        <f t="shared" si="0"/>
        <v>2724</v>
      </c>
      <c r="H27" s="3" t="s">
        <v>74</v>
      </c>
      <c r="I27" s="3">
        <v>1</v>
      </c>
      <c r="J27" s="6">
        <v>75</v>
      </c>
      <c r="K27" s="3">
        <f t="shared" si="1"/>
        <v>75</v>
      </c>
      <c r="L27" s="3">
        <f t="shared" si="2"/>
        <v>2799</v>
      </c>
    </row>
    <row r="28" ht="18" customHeight="1" spans="1:12">
      <c r="A28" s="3">
        <v>26</v>
      </c>
      <c r="B28" s="3" t="s">
        <v>427</v>
      </c>
      <c r="C28" s="4">
        <v>938</v>
      </c>
      <c r="D28" s="4">
        <v>962</v>
      </c>
      <c r="E28" s="4">
        <v>962</v>
      </c>
      <c r="F28" s="4">
        <v>3</v>
      </c>
      <c r="G28" s="3">
        <f t="shared" si="0"/>
        <v>2886</v>
      </c>
      <c r="H28" s="3" t="s">
        <v>76</v>
      </c>
      <c r="I28" s="3">
        <v>2</v>
      </c>
      <c r="J28" s="6">
        <v>78</v>
      </c>
      <c r="K28" s="3">
        <f t="shared" si="1"/>
        <v>156</v>
      </c>
      <c r="L28" s="3">
        <f t="shared" si="2"/>
        <v>3042</v>
      </c>
    </row>
    <row r="29" ht="18" customHeight="1" spans="1:12">
      <c r="A29" s="3">
        <v>27</v>
      </c>
      <c r="B29" s="3" t="s">
        <v>428</v>
      </c>
      <c r="C29" s="4">
        <v>490</v>
      </c>
      <c r="D29" s="4">
        <v>510</v>
      </c>
      <c r="E29" s="4">
        <v>510</v>
      </c>
      <c r="F29" s="4">
        <v>3</v>
      </c>
      <c r="G29" s="3">
        <f t="shared" si="0"/>
        <v>1530</v>
      </c>
      <c r="H29" s="3" t="s">
        <v>78</v>
      </c>
      <c r="I29" s="3">
        <v>4</v>
      </c>
      <c r="J29" s="6">
        <v>81</v>
      </c>
      <c r="K29" s="3">
        <f t="shared" si="1"/>
        <v>324</v>
      </c>
      <c r="L29" s="3">
        <f t="shared" si="2"/>
        <v>1854</v>
      </c>
    </row>
    <row r="30" ht="18" customHeight="1" spans="1:12">
      <c r="A30" s="3">
        <v>28</v>
      </c>
      <c r="B30" s="3" t="s">
        <v>429</v>
      </c>
      <c r="C30" s="4">
        <v>474</v>
      </c>
      <c r="D30" s="4">
        <v>478</v>
      </c>
      <c r="E30" s="4">
        <v>478</v>
      </c>
      <c r="F30" s="4">
        <v>3</v>
      </c>
      <c r="G30" s="3">
        <f t="shared" si="0"/>
        <v>1434</v>
      </c>
      <c r="H30" s="3" t="s">
        <v>80</v>
      </c>
      <c r="I30" s="3">
        <v>0</v>
      </c>
      <c r="J30" s="6">
        <v>84</v>
      </c>
      <c r="K30" s="3">
        <f t="shared" si="1"/>
        <v>0</v>
      </c>
      <c r="L30" s="3">
        <f t="shared" si="2"/>
        <v>1434</v>
      </c>
    </row>
    <row r="31" ht="18" customHeight="1" spans="1:12">
      <c r="A31" s="3">
        <v>29</v>
      </c>
      <c r="B31" s="3" t="s">
        <v>430</v>
      </c>
      <c r="C31" s="4">
        <v>929</v>
      </c>
      <c r="D31" s="4">
        <v>901</v>
      </c>
      <c r="E31" s="4">
        <v>901</v>
      </c>
      <c r="F31" s="4">
        <v>3</v>
      </c>
      <c r="G31" s="3">
        <f t="shared" si="0"/>
        <v>2703</v>
      </c>
      <c r="H31" s="3" t="s">
        <v>82</v>
      </c>
      <c r="I31" s="3">
        <v>0</v>
      </c>
      <c r="J31" s="6">
        <v>87</v>
      </c>
      <c r="K31" s="3">
        <f t="shared" si="1"/>
        <v>0</v>
      </c>
      <c r="L31" s="3">
        <f t="shared" si="2"/>
        <v>2703</v>
      </c>
    </row>
    <row r="32" ht="18" customHeight="1" spans="1:12">
      <c r="A32" s="3">
        <v>30</v>
      </c>
      <c r="B32" s="3" t="s">
        <v>431</v>
      </c>
      <c r="C32" s="4">
        <v>906</v>
      </c>
      <c r="D32" s="4">
        <v>893</v>
      </c>
      <c r="E32" s="4">
        <v>893</v>
      </c>
      <c r="F32" s="4">
        <v>3</v>
      </c>
      <c r="G32" s="3">
        <f t="shared" si="0"/>
        <v>2679</v>
      </c>
      <c r="H32" s="3" t="s">
        <v>84</v>
      </c>
      <c r="I32" s="3">
        <v>0</v>
      </c>
      <c r="J32" s="6">
        <v>90</v>
      </c>
      <c r="K32" s="3">
        <f t="shared" si="1"/>
        <v>0</v>
      </c>
      <c r="L32" s="3">
        <f t="shared" si="2"/>
        <v>2679</v>
      </c>
    </row>
    <row r="33" ht="18" customHeight="1" spans="1:12">
      <c r="A33" s="4">
        <v>31</v>
      </c>
      <c r="B33" s="3" t="s">
        <v>432</v>
      </c>
      <c r="C33" s="4">
        <v>911</v>
      </c>
      <c r="D33" s="4">
        <v>954</v>
      </c>
      <c r="E33" s="4">
        <v>954</v>
      </c>
      <c r="F33" s="4">
        <v>3</v>
      </c>
      <c r="G33" s="3">
        <f t="shared" si="0"/>
        <v>2862</v>
      </c>
      <c r="H33" s="3" t="s">
        <v>86</v>
      </c>
      <c r="I33" s="3">
        <v>0</v>
      </c>
      <c r="J33" s="3">
        <v>93</v>
      </c>
      <c r="K33" s="3">
        <f t="shared" si="1"/>
        <v>0</v>
      </c>
      <c r="L33" s="3">
        <f t="shared" si="2"/>
        <v>2862</v>
      </c>
    </row>
    <row r="34" ht="18" customHeight="1" spans="1:12">
      <c r="A34" s="3" t="s">
        <v>87</v>
      </c>
      <c r="B34" s="5"/>
      <c r="C34" s="4">
        <f>SUM(C3:C33)</f>
        <v>24687</v>
      </c>
      <c r="D34" s="4">
        <f>SUM(D3:D33)</f>
        <v>24784</v>
      </c>
      <c r="E34" s="4">
        <f>SUM(E3:E33)</f>
        <v>24784</v>
      </c>
      <c r="F34" s="4">
        <v>3</v>
      </c>
      <c r="G34" s="3">
        <f t="shared" si="0"/>
        <v>74352</v>
      </c>
      <c r="H34" s="4"/>
      <c r="I34" s="4"/>
      <c r="J34" s="5"/>
      <c r="K34" s="3">
        <f>SUM(K3:K33)</f>
        <v>15873</v>
      </c>
      <c r="L34" s="3">
        <f>SUM(L3:L33)</f>
        <v>90225</v>
      </c>
    </row>
  </sheetData>
  <mergeCells count="3">
    <mergeCell ref="A1:L1"/>
    <mergeCell ref="H2:J2"/>
    <mergeCell ref="H34:J34"/>
  </mergeCells>
  <pageMargins left="0.75" right="0.75" top="1" bottom="1" header="0.5" footer="0.5"/>
  <pageSetup paperSize="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汇总</vt:lpstr>
      <vt:lpstr>2025年1月份</vt:lpstr>
      <vt:lpstr>2025年2月份</vt:lpstr>
      <vt:lpstr>2025年3月份</vt:lpstr>
      <vt:lpstr>2025年4月份</vt:lpstr>
      <vt:lpstr>2025年5月份</vt:lpstr>
      <vt:lpstr>2025年6月份</vt:lpstr>
      <vt:lpstr>2025年7月份</vt:lpstr>
      <vt:lpstr>2025年8月份</vt:lpstr>
      <vt:lpstr>2025年9月份</vt:lpstr>
      <vt:lpstr>2025年10月份</vt:lpstr>
      <vt:lpstr>2025年11月份</vt:lpstr>
      <vt:lpstr>2025年12月份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徐全玲</cp:lastModifiedBy>
  <dcterms:created xsi:type="dcterms:W3CDTF">2023-05-12T19:15:00Z</dcterms:created>
  <dcterms:modified xsi:type="dcterms:W3CDTF">2026-09-20T09:35:22Z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2052-6.15.1.8935</vt:lpwstr>
  </property>
  <property fmtid="{D5CDD505-2E9C-101B-9397-08002B2CF9AE}" pid="3" name="ICV">
    <vt:lpwstr>ECCD17CC12C24AABB22D8C0A67FDC94D_12</vt:lpwstr>
  </property>
  <property fmtid="{D5CDD505-2E9C-101B-9397-08002B2CF9AE}" pid="4" name="CalculationRule">
    <vt:i4>0</vt:i4>
  </property>
</Properties>
</file>