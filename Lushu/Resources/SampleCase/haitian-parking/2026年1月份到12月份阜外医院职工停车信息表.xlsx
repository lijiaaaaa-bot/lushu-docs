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windowWidth="27945" windowHeight="12375"/>
  </bookViews>
  <sheets>
    <sheet name="汇总" sheetId="1" r:id="rId1"/>
    <sheet name="2026年1月份" sheetId="2" r:id="rId2"/>
    <sheet name="2026年2月份" sheetId="3" r:id="rId3"/>
    <sheet name="2026年3月份" sheetId="4" r:id="rId4"/>
    <sheet name="2026年4月份" sheetId="5" r:id="rId5"/>
    <sheet name="2026年5月份" sheetId="6" r:id="rId6"/>
    <sheet name="2026年6月份" sheetId="7" r:id="rId7"/>
    <sheet name="2026年7月份" sheetId="8" r:id="rId8"/>
    <sheet name="2026年8月份" sheetId="9" r:id="rId9"/>
    <sheet name="2026年9月份" sheetId="10" r:id="rId10"/>
    <sheet name="2026年10月份" sheetId="11" r:id="rId11"/>
    <sheet name="2026年11月份" sheetId="12" r:id="rId12"/>
    <sheet name="2026年12月份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<sst xmlns="http://schemas.openxmlformats.org/spreadsheetml/2006/main" count="597" uniqueCount="307">
  <si>
    <t>阜外华中心血管病医院职工</t>
  </si>
  <si>
    <t>2026年汇总</t>
  </si>
  <si>
    <t>2026年度地下停车场停车收费明细</t>
  </si>
  <si>
    <t>序号</t>
  </si>
  <si>
    <t>月份</t>
  </si>
  <si>
    <t>金额</t>
  </si>
  <si>
    <t>进场车次</t>
  </si>
  <si>
    <t>电费金额</t>
  </si>
  <si>
    <t>管理费金额（年）</t>
  </si>
  <si>
    <t>汇总</t>
  </si>
  <si>
    <t>2026年第一季度小计</t>
  </si>
  <si>
    <t>2026年第二季度小计</t>
  </si>
  <si>
    <t>2026年第三季度小计</t>
  </si>
  <si>
    <t>2026年第四季度小计</t>
  </si>
  <si>
    <t>2026年度合计</t>
  </si>
  <si>
    <t>2026年阜外华中心血管病医院职工1月份地下停车场停车记录</t>
  </si>
  <si>
    <t>日期</t>
  </si>
  <si>
    <t>进场车单次</t>
  </si>
  <si>
    <t>出场车单次</t>
  </si>
  <si>
    <t>计费车次</t>
  </si>
  <si>
    <t>费用（3元/天）</t>
  </si>
  <si>
    <t>车次总计（元）</t>
  </si>
  <si>
    <t>时间/停留车辆/费用</t>
  </si>
  <si>
    <t>停留车辆总计（元）</t>
  </si>
  <si>
    <t>总计（元）</t>
  </si>
  <si>
    <t>2026.1.1</t>
  </si>
  <si>
    <t>1天</t>
  </si>
  <si>
    <t>2026.1.2</t>
  </si>
  <si>
    <t>2天</t>
  </si>
  <si>
    <t>2026.1.3</t>
  </si>
  <si>
    <t>3天</t>
  </si>
  <si>
    <t>2026.1.4</t>
  </si>
  <si>
    <t>4天</t>
  </si>
  <si>
    <t>2026.1.5</t>
  </si>
  <si>
    <t>5天</t>
  </si>
  <si>
    <t>2026.1.6</t>
  </si>
  <si>
    <t>6天</t>
  </si>
  <si>
    <t>2026.1.7</t>
  </si>
  <si>
    <t>7天</t>
  </si>
  <si>
    <t>2026.1.8</t>
  </si>
  <si>
    <t>8天</t>
  </si>
  <si>
    <t>2026.1.9</t>
  </si>
  <si>
    <t>9天</t>
  </si>
  <si>
    <t>2026.1.10</t>
  </si>
  <si>
    <t>10天</t>
  </si>
  <si>
    <t>2026.1.11</t>
  </si>
  <si>
    <t>11天</t>
  </si>
  <si>
    <t>2026.1.12</t>
  </si>
  <si>
    <t>12天</t>
  </si>
  <si>
    <t>2026.1.13</t>
  </si>
  <si>
    <t>13天</t>
  </si>
  <si>
    <t>2026.1.14</t>
  </si>
  <si>
    <t>14天</t>
  </si>
  <si>
    <t>2026.1.15</t>
  </si>
  <si>
    <t>15天</t>
  </si>
  <si>
    <t>2026.1.16</t>
  </si>
  <si>
    <t>16天</t>
  </si>
  <si>
    <t>2026.1.17</t>
  </si>
  <si>
    <t>17天</t>
  </si>
  <si>
    <t>2026.1.18</t>
  </si>
  <si>
    <t>18天</t>
  </si>
  <si>
    <t>2026.1.19</t>
  </si>
  <si>
    <t>19天</t>
  </si>
  <si>
    <t>2026.1.20</t>
  </si>
  <si>
    <t>20天</t>
  </si>
  <si>
    <t>2026.1.21</t>
  </si>
  <si>
    <t>21天</t>
  </si>
  <si>
    <t>2026.1.22</t>
  </si>
  <si>
    <t>22天</t>
  </si>
  <si>
    <t>2026.1.23</t>
  </si>
  <si>
    <t>23天</t>
  </si>
  <si>
    <t>2026.1.24</t>
  </si>
  <si>
    <t>24天</t>
  </si>
  <si>
    <t>2026.1.25</t>
  </si>
  <si>
    <t>25天</t>
  </si>
  <si>
    <t>2026.1.26</t>
  </si>
  <si>
    <t>26天</t>
  </si>
  <si>
    <t>2026.1.27</t>
  </si>
  <si>
    <t>27天</t>
  </si>
  <si>
    <t>2026.1.28</t>
  </si>
  <si>
    <t>28天</t>
  </si>
  <si>
    <t>2026.1.29</t>
  </si>
  <si>
    <t>29天</t>
  </si>
  <si>
    <t>2026.1.30</t>
  </si>
  <si>
    <t>30天</t>
  </si>
  <si>
    <t>2026.1.31</t>
  </si>
  <si>
    <t>31天</t>
  </si>
  <si>
    <t>共计</t>
  </si>
  <si>
    <t>2026年阜外华中心血管病医院职工2月份地下停车场停车记录</t>
  </si>
  <si>
    <t>2026.2.1</t>
  </si>
  <si>
    <t>2026.2.2</t>
  </si>
  <si>
    <t>2026.2.3</t>
  </si>
  <si>
    <t>2026.2.4</t>
  </si>
  <si>
    <t>2026.2.5</t>
  </si>
  <si>
    <t>2026.2.6</t>
  </si>
  <si>
    <t>2026.2.7</t>
  </si>
  <si>
    <t>2026.2.8</t>
  </si>
  <si>
    <t>2026.2.9</t>
  </si>
  <si>
    <t>2026.2.10</t>
  </si>
  <si>
    <t>2026.2.11</t>
  </si>
  <si>
    <t>2026.2.12</t>
  </si>
  <si>
    <t>2026.2.13</t>
  </si>
  <si>
    <t>2026.2.14</t>
  </si>
  <si>
    <t>2026.2.15</t>
  </si>
  <si>
    <t>2026.2.16</t>
  </si>
  <si>
    <t>2026.2.17</t>
  </si>
  <si>
    <t>2026.2.18</t>
  </si>
  <si>
    <t>2026.2.19</t>
  </si>
  <si>
    <t>2026.2.20</t>
  </si>
  <si>
    <t>2026.2.21</t>
  </si>
  <si>
    <t>2026.2.22</t>
  </si>
  <si>
    <t>2026.2.23</t>
  </si>
  <si>
    <t>2026.2.24</t>
  </si>
  <si>
    <t>2026.2.25</t>
  </si>
  <si>
    <t>2026.2.26</t>
  </si>
  <si>
    <t>2026.2.27</t>
  </si>
  <si>
    <t>2026.2.28</t>
  </si>
  <si>
    <t>2026年阜外华中心血管病医院职工3月份地下停车场停车记录</t>
  </si>
  <si>
    <t>2026.3.1</t>
  </si>
  <si>
    <t>2026.3.2</t>
  </si>
  <si>
    <t>2026.3.3</t>
  </si>
  <si>
    <t>2026.3.4</t>
  </si>
  <si>
    <t>2026.3.5</t>
  </si>
  <si>
    <t>2026.3.6</t>
  </si>
  <si>
    <t>2026.3.7</t>
  </si>
  <si>
    <t>2026.3.8</t>
  </si>
  <si>
    <t>2026.3.9</t>
  </si>
  <si>
    <t>2026.3.10</t>
  </si>
  <si>
    <t>2026.3.11</t>
  </si>
  <si>
    <t>2026.3.12</t>
  </si>
  <si>
    <t>2026.3.13</t>
  </si>
  <si>
    <t>2026.3.14</t>
  </si>
  <si>
    <t>2026.3.15</t>
  </si>
  <si>
    <t>2026.3.16</t>
  </si>
  <si>
    <t>2026.3.17</t>
  </si>
  <si>
    <t>2026.3.18</t>
  </si>
  <si>
    <t>2026.3.19</t>
  </si>
  <si>
    <t>2026.3.20</t>
  </si>
  <si>
    <t>2026.3.21</t>
  </si>
  <si>
    <t>2026.3.22</t>
  </si>
  <si>
    <t>2026.3.23</t>
  </si>
  <si>
    <t>2026.3.24</t>
  </si>
  <si>
    <t>2026.3.25</t>
  </si>
  <si>
    <t>2026.3.26</t>
  </si>
  <si>
    <t>2026.3.27</t>
  </si>
  <si>
    <t>2026.3.28</t>
  </si>
  <si>
    <t>2026.3.29</t>
  </si>
  <si>
    <t>2026.3.30</t>
  </si>
  <si>
    <t>2026.3.31</t>
  </si>
  <si>
    <t>2026年阜外华中心血管病医院职工4月份地下停车场停车记录</t>
  </si>
  <si>
    <t>2026.4.1</t>
  </si>
  <si>
    <t>2026.4.2</t>
  </si>
  <si>
    <t>2026.4.3</t>
  </si>
  <si>
    <t>2026.4.4</t>
  </si>
  <si>
    <t>2026.4.5</t>
  </si>
  <si>
    <t>2026.4.6</t>
  </si>
  <si>
    <t>2026.4.7</t>
  </si>
  <si>
    <t>2026.4.8</t>
  </si>
  <si>
    <t>2026.4.9</t>
  </si>
  <si>
    <t>2026.4.10</t>
  </si>
  <si>
    <t>2026.4.11</t>
  </si>
  <si>
    <t>2026.4.12</t>
  </si>
  <si>
    <t>2026.4.13</t>
  </si>
  <si>
    <t>2026.4.14</t>
  </si>
  <si>
    <t>2026.4.15</t>
  </si>
  <si>
    <t>2026.4.16</t>
  </si>
  <si>
    <t>2026.4.17</t>
  </si>
  <si>
    <t>2026.4.18</t>
  </si>
  <si>
    <t>2026.4.19</t>
  </si>
  <si>
    <t>2026.4.20</t>
  </si>
  <si>
    <t>2026.4.21</t>
  </si>
  <si>
    <t>2026.4.22</t>
  </si>
  <si>
    <t>2026.4.23</t>
  </si>
  <si>
    <t>2026.4.24</t>
  </si>
  <si>
    <t>2026.4.25</t>
  </si>
  <si>
    <t>2026.4.26</t>
  </si>
  <si>
    <t>2026.4.27</t>
  </si>
  <si>
    <t>2026.4.28</t>
  </si>
  <si>
    <t>2026.4.29</t>
  </si>
  <si>
    <t>2026.4.30</t>
  </si>
  <si>
    <t>2026年阜外华中心血管病医院职工5月份地下停车场停车记录</t>
  </si>
  <si>
    <t>2026.5.1</t>
  </si>
  <si>
    <t>2026.5.2</t>
  </si>
  <si>
    <t>2026.5.3</t>
  </si>
  <si>
    <t>2026.5.4</t>
  </si>
  <si>
    <t>2026.5.5</t>
  </si>
  <si>
    <t>2026.5.6</t>
  </si>
  <si>
    <t>2026.5.7</t>
  </si>
  <si>
    <t>2026.5.8</t>
  </si>
  <si>
    <t>2026.5.9</t>
  </si>
  <si>
    <t>2026.5.10</t>
  </si>
  <si>
    <t>2026.5.11</t>
  </si>
  <si>
    <t>2026.5.12</t>
  </si>
  <si>
    <t>2026.5.13</t>
  </si>
  <si>
    <t>2026.5.14</t>
  </si>
  <si>
    <t>2026.5.15</t>
  </si>
  <si>
    <t>2026.5.16</t>
  </si>
  <si>
    <t>2026.5.17</t>
  </si>
  <si>
    <t>2026.5.18</t>
  </si>
  <si>
    <t>2026.5.19</t>
  </si>
  <si>
    <t>2026.5.20</t>
  </si>
  <si>
    <t>2026.5.21</t>
  </si>
  <si>
    <t>2026.5.22</t>
  </si>
  <si>
    <t>2026.5.23</t>
  </si>
  <si>
    <t>2026.5.24</t>
  </si>
  <si>
    <t>2026.5.25</t>
  </si>
  <si>
    <t>2026.5.26</t>
  </si>
  <si>
    <t>2026.5.27</t>
  </si>
  <si>
    <t>2026.5.28</t>
  </si>
  <si>
    <t>2026.5.29</t>
  </si>
  <si>
    <t>2026.5.30</t>
  </si>
  <si>
    <t>2026.5.31</t>
  </si>
  <si>
    <t>2026年阜外华中心血管病医院职工6月份地下停车场停车记录</t>
  </si>
  <si>
    <t>2026.6.1</t>
  </si>
  <si>
    <t>2026.6.2</t>
  </si>
  <si>
    <t>2026.6.3</t>
  </si>
  <si>
    <t>2026.6.4</t>
  </si>
  <si>
    <t>2026.6.5</t>
  </si>
  <si>
    <t>2026.6.6</t>
  </si>
  <si>
    <t>2026.6.7</t>
  </si>
  <si>
    <t>2026.6.8</t>
  </si>
  <si>
    <t>2026.6.9</t>
  </si>
  <si>
    <t>2026.6.10</t>
  </si>
  <si>
    <t>2026.6.11</t>
  </si>
  <si>
    <t>2026.6.12</t>
  </si>
  <si>
    <t>2026.6.13</t>
  </si>
  <si>
    <t>2026.6.14</t>
  </si>
  <si>
    <t>2026.6.15</t>
  </si>
  <si>
    <t>2026.6.16</t>
  </si>
  <si>
    <t>2026.6.17</t>
  </si>
  <si>
    <t>2026.6.18</t>
  </si>
  <si>
    <t>2026.6.19</t>
  </si>
  <si>
    <t>2026.6.20</t>
  </si>
  <si>
    <t>2026.6.21</t>
  </si>
  <si>
    <t>2026.6.22</t>
  </si>
  <si>
    <t>2026.6.23</t>
  </si>
  <si>
    <t>2026.6.24</t>
  </si>
  <si>
    <t>2026.6.25</t>
  </si>
  <si>
    <t>2026.6.26</t>
  </si>
  <si>
    <t>2026.6.27</t>
  </si>
  <si>
    <t>2026.6.28</t>
  </si>
  <si>
    <t>2026.6.29</t>
  </si>
  <si>
    <t>2026.6.30</t>
  </si>
  <si>
    <t>2026年阜外华中心血管病医院职工7月份地下停车场停车记录</t>
  </si>
  <si>
    <t>2026.7.1</t>
  </si>
  <si>
    <t>2026.7.2</t>
  </si>
  <si>
    <t>2026.7.3</t>
  </si>
  <si>
    <t>2026.7.4</t>
  </si>
  <si>
    <t>2026.7.5</t>
  </si>
  <si>
    <t>2026.7.6</t>
  </si>
  <si>
    <t>2026.7.7</t>
  </si>
  <si>
    <t>2026.7.8</t>
  </si>
  <si>
    <t>2026.7.9</t>
  </si>
  <si>
    <t>2026.7.10</t>
  </si>
  <si>
    <t>2026.7.11</t>
  </si>
  <si>
    <t>2026.7.12</t>
  </si>
  <si>
    <t>2026.7.13</t>
  </si>
  <si>
    <t>2026.7.14</t>
  </si>
  <si>
    <t>2026.7.15</t>
  </si>
  <si>
    <t>2026.7.16</t>
  </si>
  <si>
    <t>2026.7.17</t>
  </si>
  <si>
    <t>2026.7.18</t>
  </si>
  <si>
    <t>2026.7.19</t>
  </si>
  <si>
    <t>2026.7.20</t>
  </si>
  <si>
    <t>2026.7.21</t>
  </si>
  <si>
    <t>2026.7.22</t>
  </si>
  <si>
    <t>2026.7.23</t>
  </si>
  <si>
    <t>2026.7.24</t>
  </si>
  <si>
    <t>2026.7.25</t>
  </si>
  <si>
    <t>2026.7.26</t>
  </si>
  <si>
    <t>2026.7.27</t>
  </si>
  <si>
    <t>2026.7.28</t>
  </si>
  <si>
    <t>2026.7.29</t>
  </si>
  <si>
    <t>2026.7.30</t>
  </si>
  <si>
    <t>2026.7.31</t>
  </si>
  <si>
    <t>2026年阜外华中心血管病医院职工12月份地下停车场停车记录</t>
  </si>
  <si>
    <t>2026.12.1</t>
  </si>
  <si>
    <t>2026.12.2</t>
  </si>
  <si>
    <t>2026.12.3</t>
  </si>
  <si>
    <t>2026.12.4</t>
  </si>
  <si>
    <t>2026.12.5</t>
  </si>
  <si>
    <t>2026.12.6</t>
  </si>
  <si>
    <t>2026.12.7</t>
  </si>
  <si>
    <t>2026.12.8</t>
  </si>
  <si>
    <t>2026.12.9</t>
  </si>
  <si>
    <t>2026.12.10</t>
  </si>
  <si>
    <t>2026.12.11</t>
  </si>
  <si>
    <t>2026.12.12</t>
  </si>
  <si>
    <t>2026.12.13</t>
  </si>
  <si>
    <t>2026.12.14</t>
  </si>
  <si>
    <t>2026.12.15</t>
  </si>
  <si>
    <t>2026.12.16</t>
  </si>
  <si>
    <t>2026.12.17</t>
  </si>
  <si>
    <t>2026.12.18</t>
  </si>
  <si>
    <t>2026.12.19</t>
  </si>
  <si>
    <t>2026.12.20</t>
  </si>
  <si>
    <t>2026.12.21</t>
  </si>
  <si>
    <t>2026.12.22</t>
  </si>
  <si>
    <t>2026.12.23</t>
  </si>
  <si>
    <t>2026.12.24</t>
  </si>
  <si>
    <t>2026.12.25</t>
  </si>
  <si>
    <t>2026.12.26</t>
  </si>
  <si>
    <t>2026.12.27</t>
  </si>
  <si>
    <t>2026.12.28</t>
  </si>
  <si>
    <t>2026.12.29</t>
  </si>
  <si>
    <t>2026.12.30</t>
  </si>
  <si>
    <t>2026.12.31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</si>
</sst>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"/>
    <numFmt numFmtId="177" formatCode="0.00_ "/>
  </numFmts>
  <fonts count="30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b/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14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5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8" fillId="0" borderId="0">
      <alignment vertical="center"/>
    </xf>
    <xf numFmtId="0" fontId="19" fillId="3" borderId="17">
      <alignment vertical="center"/>
    </xf>
    <xf numFmtId="0" fontId="20" fillId="4" borderId="18">
      <alignment vertical="center"/>
    </xf>
    <xf numFmtId="0" fontId="21" fillId="4" borderId="17">
      <alignment vertical="center"/>
    </xf>
    <xf numFmtId="0" fontId="22" fillId="5" borderId="19">
      <alignment vertical="center"/>
    </xf>
    <xf numFmtId="0" fontId="23" fillId="0" borderId="20">
      <alignment vertical="center"/>
    </xf>
    <xf numFmtId="0" fontId="24" fillId="0" borderId="21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</cellStyleXfs>
  <cellXfs count="3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14" fontId="2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57" fontId="6" fillId="0" borderId="4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57" fontId="8" fillId="0" borderId="4" xfId="0" applyNumberFormat="1" applyFont="1" applyBorder="1" applyAlignment="1">
      <alignment horizontal="left" vertical="center"/>
    </xf>
    <xf numFmtId="2" fontId="8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10" fillId="0" borderId="4" xfId="0" applyNumberFormat="1" applyFont="1" applyBorder="1" applyAlignment="1">
      <alignment horizontal="center" vertical="center"/>
    </xf>
    <xf numFmtId="57" fontId="5" fillId="0" borderId="4" xfId="0" applyNumberFormat="1" applyFont="1" applyBorder="1" applyAlignment="1">
      <alignment horizontal="left" vertical="center"/>
    </xf>
    <xf numFmtId="2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C10" sqref="C10"/>
    </sheetView>
  </sheetViews>
  <sheetFormatPr defaultColWidth="9" defaultRowHeight="13.5" outlineLevelCol="6"/>
  <cols>
    <col min="2" max="2" width="38" customWidth="1"/>
    <col min="3" max="3" width="29.2583333333333" customWidth="1"/>
    <col min="4" max="4" width="27.875" customWidth="1"/>
    <col min="5" max="5" width="30" customWidth="1"/>
    <col min="6" max="6" width="23.125" customWidth="1"/>
    <col min="7" max="7" width="45.125" customWidth="1"/>
  </cols>
  <sheetData>
    <row r="1" ht="25.5" spans="1:7">
      <c r="A1" s="10" t="s">
        <v>0</v>
      </c>
      <c r="B1" s="10"/>
      <c r="C1" s="10"/>
      <c r="D1" s="11" t="s">
        <v>1</v>
      </c>
      <c r="E1" s="12"/>
      <c r="F1" s="12"/>
      <c r="G1" s="13"/>
    </row>
    <row r="2" ht="27" customHeight="1" spans="1:7">
      <c r="A2" s="14" t="s">
        <v>2</v>
      </c>
      <c r="B2" s="14"/>
      <c r="C2" s="14"/>
      <c r="D2" s="15"/>
      <c r="E2" s="16"/>
      <c r="F2" s="16"/>
      <c r="G2" s="17"/>
    </row>
    <row r="3" ht="27" customHeight="1" spans="1:7">
      <c r="A3" s="18" t="s">
        <v>3</v>
      </c>
      <c r="B3" s="18" t="s">
        <v>4</v>
      </c>
      <c r="C3" s="18" t="s">
        <v>5</v>
      </c>
      <c r="D3" s="19" t="s">
        <v>6</v>
      </c>
      <c r="E3" s="7" t="s">
        <v>7</v>
      </c>
      <c r="F3" s="7" t="s">
        <v>8</v>
      </c>
      <c r="G3" s="7" t="s">
        <v>9</v>
      </c>
    </row>
    <row r="4" ht="27" customHeight="1" spans="1:7">
      <c r="A4" s="20">
        <v>1</v>
      </c>
      <c r="B4" s="21">
        <v>46023</v>
      </c>
      <c r="C4" s="22">
        <v>87255</v>
      </c>
      <c r="D4" s="7">
        <v>23937</v>
      </c>
      <c r="E4" s="23"/>
      <c r="F4" s="24"/>
      <c r="G4" s="24"/>
    </row>
    <row r="5" ht="27" customHeight="1" spans="1:7">
      <c r="A5" s="20">
        <v>2</v>
      </c>
      <c r="B5" s="21">
        <v>46054</v>
      </c>
      <c r="C5" s="22">
        <v>71841</v>
      </c>
      <c r="D5" s="7">
        <v>19951</v>
      </c>
      <c r="E5" s="25"/>
      <c r="F5" s="26"/>
      <c r="G5" s="26"/>
    </row>
    <row r="6" ht="27" customHeight="1" spans="1:7">
      <c r="A6" s="20">
        <v>3</v>
      </c>
      <c r="B6" s="21">
        <v>46082</v>
      </c>
      <c r="C6" s="22">
        <v>88521</v>
      </c>
      <c r="D6" s="7">
        <v>24632</v>
      </c>
      <c r="E6" s="25"/>
      <c r="F6" s="26"/>
      <c r="G6" s="26"/>
    </row>
    <row r="7" ht="27" customHeight="1" spans="1:7">
      <c r="A7" s="20">
        <v>4</v>
      </c>
      <c r="B7" s="27" t="s">
        <v>10</v>
      </c>
      <c r="C7" s="28">
        <f>SUM(C4:C6)</f>
        <v>247617</v>
      </c>
      <c r="D7" s="29">
        <f>SUM(D4:D6)</f>
        <v>68520</v>
      </c>
      <c r="E7" s="25"/>
      <c r="F7" s="26"/>
      <c r="G7" s="26"/>
    </row>
    <row r="8" ht="27" customHeight="1" spans="1:7">
      <c r="A8" s="20">
        <v>5</v>
      </c>
      <c r="B8" s="21">
        <v>46113</v>
      </c>
      <c r="C8" s="22">
        <v>82173</v>
      </c>
      <c r="D8" s="7">
        <v>22681</v>
      </c>
      <c r="E8" s="25"/>
      <c r="F8" s="26"/>
      <c r="G8" s="26"/>
    </row>
    <row r="9" ht="27" customHeight="1" spans="1:7">
      <c r="A9" s="20">
        <v>6</v>
      </c>
      <c r="B9" s="21">
        <v>46143</v>
      </c>
      <c r="C9" s="22">
        <v>81468</v>
      </c>
      <c r="D9" s="7">
        <v>22453</v>
      </c>
      <c r="E9" s="25"/>
      <c r="F9" s="26"/>
      <c r="G9" s="26"/>
    </row>
    <row r="10" ht="27" customHeight="1" spans="1:7">
      <c r="A10" s="20">
        <v>7</v>
      </c>
      <c r="B10" s="21">
        <v>46174</v>
      </c>
      <c r="C10" s="22">
        <v>80826</v>
      </c>
      <c r="D10" s="30">
        <v>22530</v>
      </c>
      <c r="E10" s="25"/>
      <c r="F10" s="26"/>
      <c r="G10" s="26"/>
    </row>
    <row r="11" ht="27" customHeight="1" spans="1:7">
      <c r="A11" s="20">
        <v>8</v>
      </c>
      <c r="B11" s="27" t="s">
        <v>11</v>
      </c>
      <c r="C11" s="28">
        <f>SUM(C8:C10)</f>
        <v>244467</v>
      </c>
      <c r="D11" s="29">
        <f>SUM(D8:D10)</f>
        <v>67664</v>
      </c>
      <c r="E11" s="25"/>
      <c r="F11" s="26"/>
      <c r="G11" s="26"/>
    </row>
    <row r="12" ht="27" customHeight="1" spans="1:7">
      <c r="A12" s="20">
        <v>9</v>
      </c>
      <c r="B12" s="21">
        <v>46204</v>
      </c>
      <c r="C12" s="22">
        <v>87039</v>
      </c>
      <c r="D12" s="19">
        <v>23929</v>
      </c>
      <c r="E12" s="31"/>
      <c r="F12" s="26"/>
      <c r="G12" s="26"/>
    </row>
    <row r="13" ht="27" customHeight="1" spans="1:7">
      <c r="A13" s="20">
        <v>10</v>
      </c>
      <c r="B13" s="21">
        <v>46235</v>
      </c>
      <c r="C13" s="22"/>
      <c r="D13" s="19"/>
      <c r="E13" s="26"/>
      <c r="F13" s="26"/>
      <c r="G13" s="26"/>
    </row>
    <row r="14" ht="27" customHeight="1" spans="1:7">
      <c r="A14" s="20">
        <v>11</v>
      </c>
      <c r="B14" s="21">
        <v>46266</v>
      </c>
      <c r="C14" s="22"/>
      <c r="D14" s="32"/>
      <c r="E14" s="26"/>
      <c r="F14" s="26"/>
      <c r="G14" s="26"/>
    </row>
    <row r="15" ht="27" customHeight="1" spans="1:7">
      <c r="A15" s="20">
        <v>12</v>
      </c>
      <c r="B15" s="27" t="s">
        <v>12</v>
      </c>
      <c r="C15" s="28"/>
      <c r="D15" s="33"/>
      <c r="E15" s="26"/>
      <c r="F15" s="26"/>
      <c r="G15" s="26"/>
    </row>
    <row r="16" ht="27" customHeight="1" spans="1:7">
      <c r="A16" s="20">
        <v>13</v>
      </c>
      <c r="B16" s="21">
        <v>46296</v>
      </c>
      <c r="C16" s="22"/>
      <c r="D16" s="32"/>
      <c r="E16" s="26"/>
      <c r="F16" s="26"/>
      <c r="G16" s="26"/>
    </row>
    <row r="17" ht="27" customHeight="1" spans="1:7">
      <c r="A17" s="20">
        <v>14</v>
      </c>
      <c r="B17" s="21">
        <v>46327</v>
      </c>
      <c r="C17" s="22"/>
      <c r="D17" s="32"/>
      <c r="E17" s="26"/>
      <c r="F17" s="26"/>
      <c r="G17" s="26"/>
    </row>
    <row r="18" ht="27" customHeight="1" spans="1:7">
      <c r="A18" s="20">
        <v>15</v>
      </c>
      <c r="B18" s="21">
        <v>46357</v>
      </c>
      <c r="C18" s="22"/>
      <c r="D18" s="32"/>
      <c r="E18" s="26"/>
      <c r="F18" s="26"/>
      <c r="G18" s="26"/>
    </row>
    <row r="19" ht="27" customHeight="1" spans="1:7">
      <c r="A19" s="20">
        <v>16</v>
      </c>
      <c r="B19" s="27" t="s">
        <v>13</v>
      </c>
      <c r="C19" s="28"/>
      <c r="D19" s="33"/>
      <c r="E19" s="26"/>
      <c r="F19" s="26"/>
      <c r="G19" s="26"/>
    </row>
    <row r="20" ht="27" customHeight="1" spans="1:7">
      <c r="A20" s="20">
        <v>17</v>
      </c>
      <c r="B20" s="34" t="s">
        <v>14</v>
      </c>
      <c r="C20" s="35"/>
      <c r="D20" s="19"/>
      <c r="E20" s="36"/>
      <c r="F20" s="36"/>
      <c r="G20" s="36"/>
    </row>
  </sheetData>
  <mergeCells count="7">
    <mergeCell ref="A1:C1"/>
    <mergeCell ref="A2:C2"/>
    <mergeCell ref="E4:E11"/>
    <mergeCell ref="E12:E20"/>
    <mergeCell ref="F4:F20"/>
    <mergeCell ref="G4:G20"/>
    <mergeCell ref="D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zoomScale="85" zoomScaleNormal="85" workbookViewId="0">
      <selection activeCell="I3" sqref="I3:I33"/>
    </sheetView>
  </sheetViews>
  <sheetFormatPr defaultColWidth="9" defaultRowHeight="13.5"/>
  <cols>
    <col min="1" max="1" width="10.625" customWidth="1"/>
    <col min="2" max="5" width="15.625" customWidth="1"/>
    <col min="6" max="6" width="20.125" customWidth="1"/>
    <col min="7" max="7" width="19.125" customWidth="1"/>
    <col min="8" max="8" width="10.625" customWidth="1"/>
    <col min="9" max="9" width="8.875" customWidth="1"/>
    <col min="10" max="10" width="8.5" customWidth="1"/>
    <col min="11" max="11" width="23.7583333333333" customWidth="1"/>
    <col min="12" max="12" width="21.375" customWidth="1"/>
  </cols>
  <sheetData>
    <row r="1" ht="37" customHeight="1" spans="1:12">
      <c r="A1" s="1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30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25</v>
      </c>
      <c r="C3" s="4">
        <v>453</v>
      </c>
      <c r="D3" s="4">
        <v>495</v>
      </c>
      <c r="E3" s="4">
        <v>495</v>
      </c>
      <c r="F3" s="4">
        <v>3</v>
      </c>
      <c r="G3" s="4">
        <f>E3*F3</f>
        <v>1485</v>
      </c>
      <c r="H3" s="4" t="s">
        <v>26</v>
      </c>
      <c r="I3" s="4">
        <v>1655</v>
      </c>
      <c r="J3" s="5">
        <v>3</v>
      </c>
      <c r="K3" s="4">
        <f>I3*J3</f>
        <v>4965</v>
      </c>
      <c r="L3" s="4">
        <f>G3+K3</f>
        <v>6450</v>
      </c>
    </row>
    <row r="4" ht="18" customHeight="1" spans="1:12">
      <c r="A4" s="4">
        <v>2</v>
      </c>
      <c r="B4" s="4" t="s">
        <v>27</v>
      </c>
      <c r="C4" s="4">
        <v>407</v>
      </c>
      <c r="D4" s="4">
        <v>420</v>
      </c>
      <c r="E4" s="4">
        <v>420</v>
      </c>
      <c r="F4" s="7">
        <v>3</v>
      </c>
      <c r="G4" s="4">
        <f t="shared" ref="G3:G34" si="0">E4*F4</f>
        <v>1260</v>
      </c>
      <c r="H4" s="4" t="s">
        <v>28</v>
      </c>
      <c r="I4" s="4">
        <v>377</v>
      </c>
      <c r="J4" s="5">
        <v>6</v>
      </c>
      <c r="K4" s="4">
        <f t="shared" ref="K4:K33" si="1">I4*J4</f>
        <v>2262</v>
      </c>
      <c r="L4" s="4">
        <f t="shared" ref="L4:L33" si="2">G4+K4</f>
        <v>3522</v>
      </c>
    </row>
    <row r="5" ht="18" customHeight="1" spans="1:12">
      <c r="A5" s="4">
        <v>3</v>
      </c>
      <c r="B5" s="4" t="s">
        <v>29</v>
      </c>
      <c r="C5" s="4">
        <v>460</v>
      </c>
      <c r="D5" s="4">
        <v>429</v>
      </c>
      <c r="E5" s="4">
        <v>429</v>
      </c>
      <c r="F5" s="7">
        <v>3</v>
      </c>
      <c r="G5" s="4">
        <f t="shared" si="0"/>
        <v>1287</v>
      </c>
      <c r="H5" s="4" t="s">
        <v>30</v>
      </c>
      <c r="I5" s="4">
        <v>163</v>
      </c>
      <c r="J5" s="5">
        <v>9</v>
      </c>
      <c r="K5" s="4">
        <f t="shared" si="1"/>
        <v>1467</v>
      </c>
      <c r="L5" s="4">
        <f t="shared" si="2"/>
        <v>2754</v>
      </c>
    </row>
    <row r="6" ht="18" customHeight="1" spans="1:12">
      <c r="A6" s="4">
        <v>4</v>
      </c>
      <c r="B6" s="4" t="s">
        <v>31</v>
      </c>
      <c r="C6" s="4">
        <v>895</v>
      </c>
      <c r="D6" s="4">
        <v>862</v>
      </c>
      <c r="E6" s="4">
        <v>862</v>
      </c>
      <c r="F6" s="7">
        <v>3</v>
      </c>
      <c r="G6" s="4">
        <f t="shared" si="0"/>
        <v>2586</v>
      </c>
      <c r="H6" s="4" t="s">
        <v>32</v>
      </c>
      <c r="I6" s="4">
        <v>104</v>
      </c>
      <c r="J6" s="5">
        <v>12</v>
      </c>
      <c r="K6" s="4">
        <f t="shared" si="1"/>
        <v>1248</v>
      </c>
      <c r="L6" s="4">
        <f t="shared" si="2"/>
        <v>3834</v>
      </c>
    </row>
    <row r="7" ht="18" customHeight="1" spans="1:12">
      <c r="A7" s="4">
        <v>5</v>
      </c>
      <c r="B7" s="4" t="s">
        <v>33</v>
      </c>
      <c r="C7" s="4">
        <v>904</v>
      </c>
      <c r="D7" s="4">
        <v>912</v>
      </c>
      <c r="E7" s="4">
        <v>912</v>
      </c>
      <c r="F7" s="7">
        <v>3</v>
      </c>
      <c r="G7" s="4">
        <f t="shared" si="0"/>
        <v>2736</v>
      </c>
      <c r="H7" s="4" t="s">
        <v>34</v>
      </c>
      <c r="I7" s="4">
        <v>62</v>
      </c>
      <c r="J7" s="5">
        <v>15</v>
      </c>
      <c r="K7" s="4">
        <f t="shared" si="1"/>
        <v>930</v>
      </c>
      <c r="L7" s="4">
        <f t="shared" si="2"/>
        <v>3666</v>
      </c>
    </row>
    <row r="8" ht="18" customHeight="1" spans="1:12">
      <c r="A8" s="4">
        <v>6</v>
      </c>
      <c r="B8" s="4" t="s">
        <v>35</v>
      </c>
      <c r="C8" s="7">
        <v>932</v>
      </c>
      <c r="D8" s="7">
        <v>905</v>
      </c>
      <c r="E8" s="7">
        <v>905</v>
      </c>
      <c r="F8" s="7">
        <v>3</v>
      </c>
      <c r="G8" s="4">
        <f t="shared" si="0"/>
        <v>2715</v>
      </c>
      <c r="H8" s="4" t="s">
        <v>36</v>
      </c>
      <c r="I8" s="4">
        <v>34</v>
      </c>
      <c r="J8" s="5">
        <v>18</v>
      </c>
      <c r="K8" s="4">
        <f t="shared" si="1"/>
        <v>612</v>
      </c>
      <c r="L8" s="4">
        <f t="shared" si="2"/>
        <v>3327</v>
      </c>
    </row>
    <row r="9" ht="18" customHeight="1" spans="1:12">
      <c r="A9" s="4">
        <v>7</v>
      </c>
      <c r="B9" s="4" t="s">
        <v>37</v>
      </c>
      <c r="C9" s="7">
        <v>913</v>
      </c>
      <c r="D9" s="7">
        <v>920</v>
      </c>
      <c r="E9" s="7">
        <v>920</v>
      </c>
      <c r="F9" s="7">
        <v>3</v>
      </c>
      <c r="G9" s="4">
        <f t="shared" si="0"/>
        <v>2760</v>
      </c>
      <c r="H9" s="4" t="s">
        <v>38</v>
      </c>
      <c r="I9" s="4">
        <v>14</v>
      </c>
      <c r="J9" s="5">
        <v>21</v>
      </c>
      <c r="K9" s="4">
        <f t="shared" si="1"/>
        <v>294</v>
      </c>
      <c r="L9" s="4">
        <f t="shared" si="2"/>
        <v>3054</v>
      </c>
    </row>
    <row r="10" ht="18" customHeight="1" spans="1:12">
      <c r="A10" s="4">
        <v>8</v>
      </c>
      <c r="B10" s="4" t="s">
        <v>39</v>
      </c>
      <c r="C10" s="7">
        <v>973</v>
      </c>
      <c r="D10" s="7">
        <v>954</v>
      </c>
      <c r="E10" s="7">
        <v>954</v>
      </c>
      <c r="F10" s="7">
        <v>3</v>
      </c>
      <c r="G10" s="4">
        <f t="shared" si="0"/>
        <v>2862</v>
      </c>
      <c r="H10" s="4" t="s">
        <v>40</v>
      </c>
      <c r="I10" s="4">
        <v>12</v>
      </c>
      <c r="J10" s="5">
        <v>24</v>
      </c>
      <c r="K10" s="4">
        <f t="shared" si="1"/>
        <v>288</v>
      </c>
      <c r="L10" s="4">
        <f t="shared" si="2"/>
        <v>3150</v>
      </c>
    </row>
    <row r="11" ht="18" customHeight="1" spans="1:12">
      <c r="A11" s="4">
        <v>9</v>
      </c>
      <c r="B11" s="4" t="s">
        <v>41</v>
      </c>
      <c r="C11" s="7">
        <v>940</v>
      </c>
      <c r="D11" s="7">
        <v>967</v>
      </c>
      <c r="E11" s="7">
        <v>967</v>
      </c>
      <c r="F11" s="7">
        <v>3</v>
      </c>
      <c r="G11" s="4">
        <f t="shared" si="0"/>
        <v>2901</v>
      </c>
      <c r="H11" s="4" t="s">
        <v>42</v>
      </c>
      <c r="I11" s="4">
        <v>7</v>
      </c>
      <c r="J11" s="5">
        <v>27</v>
      </c>
      <c r="K11" s="4">
        <f t="shared" si="1"/>
        <v>189</v>
      </c>
      <c r="L11" s="4">
        <f t="shared" si="2"/>
        <v>3090</v>
      </c>
    </row>
    <row r="12" ht="18" customHeight="1" spans="1:12">
      <c r="A12" s="4">
        <v>10</v>
      </c>
      <c r="B12" s="4" t="s">
        <v>43</v>
      </c>
      <c r="C12" s="7">
        <v>511</v>
      </c>
      <c r="D12" s="7">
        <v>540</v>
      </c>
      <c r="E12" s="7">
        <v>540</v>
      </c>
      <c r="F12" s="7">
        <v>3</v>
      </c>
      <c r="G12" s="4">
        <f t="shared" si="0"/>
        <v>1620</v>
      </c>
      <c r="H12" s="4" t="s">
        <v>44</v>
      </c>
      <c r="I12" s="4">
        <v>7</v>
      </c>
      <c r="J12" s="5">
        <v>30</v>
      </c>
      <c r="K12" s="4">
        <f t="shared" si="1"/>
        <v>210</v>
      </c>
      <c r="L12" s="4">
        <f t="shared" si="2"/>
        <v>1830</v>
      </c>
    </row>
    <row r="13" ht="18" customHeight="1" spans="1:12">
      <c r="A13" s="4">
        <v>11</v>
      </c>
      <c r="B13" s="4" t="s">
        <v>45</v>
      </c>
      <c r="C13" s="7">
        <v>486</v>
      </c>
      <c r="D13" s="7">
        <v>481</v>
      </c>
      <c r="E13" s="7">
        <v>481</v>
      </c>
      <c r="F13" s="7">
        <v>3</v>
      </c>
      <c r="G13" s="4">
        <f t="shared" si="0"/>
        <v>1443</v>
      </c>
      <c r="H13" s="4" t="s">
        <v>46</v>
      </c>
      <c r="I13" s="4">
        <v>6</v>
      </c>
      <c r="J13" s="5">
        <v>33</v>
      </c>
      <c r="K13" s="4">
        <f t="shared" si="1"/>
        <v>198</v>
      </c>
      <c r="L13" s="4">
        <f t="shared" si="2"/>
        <v>1641</v>
      </c>
    </row>
    <row r="14" ht="18" customHeight="1" spans="1:12">
      <c r="A14" s="4">
        <v>12</v>
      </c>
      <c r="B14" s="4" t="s">
        <v>47</v>
      </c>
      <c r="C14" s="7">
        <v>921</v>
      </c>
      <c r="D14" s="7">
        <v>885</v>
      </c>
      <c r="E14" s="7">
        <v>885</v>
      </c>
      <c r="F14" s="7">
        <v>3</v>
      </c>
      <c r="G14" s="4">
        <f t="shared" si="0"/>
        <v>2655</v>
      </c>
      <c r="H14" s="4" t="s">
        <v>48</v>
      </c>
      <c r="I14" s="4">
        <v>6</v>
      </c>
      <c r="J14" s="5">
        <v>36</v>
      </c>
      <c r="K14" s="4">
        <f t="shared" si="1"/>
        <v>216</v>
      </c>
      <c r="L14" s="4">
        <f t="shared" si="2"/>
        <v>2871</v>
      </c>
    </row>
    <row r="15" ht="18" customHeight="1" spans="1:12">
      <c r="A15" s="4">
        <v>13</v>
      </c>
      <c r="B15" s="4" t="s">
        <v>49</v>
      </c>
      <c r="C15" s="7">
        <v>913</v>
      </c>
      <c r="D15" s="7">
        <v>903</v>
      </c>
      <c r="E15" s="7">
        <v>903</v>
      </c>
      <c r="F15" s="7">
        <v>3</v>
      </c>
      <c r="G15" s="4">
        <f t="shared" si="0"/>
        <v>2709</v>
      </c>
      <c r="H15" s="4" t="s">
        <v>50</v>
      </c>
      <c r="I15" s="4">
        <v>9</v>
      </c>
      <c r="J15" s="5">
        <v>39</v>
      </c>
      <c r="K15" s="4">
        <f t="shared" si="1"/>
        <v>351</v>
      </c>
      <c r="L15" s="4">
        <f t="shared" si="2"/>
        <v>3060</v>
      </c>
    </row>
    <row r="16" ht="18" customHeight="1" spans="1:12">
      <c r="A16" s="4">
        <v>14</v>
      </c>
      <c r="B16" s="4" t="s">
        <v>51</v>
      </c>
      <c r="C16" s="7">
        <v>906</v>
      </c>
      <c r="D16" s="7">
        <v>909</v>
      </c>
      <c r="E16" s="7">
        <v>909</v>
      </c>
      <c r="F16" s="7">
        <v>3</v>
      </c>
      <c r="G16" s="4">
        <f t="shared" si="0"/>
        <v>2727</v>
      </c>
      <c r="H16" s="4" t="s">
        <v>52</v>
      </c>
      <c r="I16" s="4">
        <v>3</v>
      </c>
      <c r="J16" s="5">
        <v>42</v>
      </c>
      <c r="K16" s="4">
        <f t="shared" si="1"/>
        <v>126</v>
      </c>
      <c r="L16" s="4">
        <f t="shared" si="2"/>
        <v>2853</v>
      </c>
    </row>
    <row r="17" ht="18" customHeight="1" spans="1:12">
      <c r="A17" s="4">
        <v>15</v>
      </c>
      <c r="B17" s="4" t="s">
        <v>53</v>
      </c>
      <c r="C17" s="7">
        <v>908</v>
      </c>
      <c r="D17" s="7">
        <v>945</v>
      </c>
      <c r="E17" s="7">
        <v>945</v>
      </c>
      <c r="F17" s="7">
        <v>3</v>
      </c>
      <c r="G17" s="4">
        <f t="shared" si="0"/>
        <v>2835</v>
      </c>
      <c r="H17" s="4" t="s">
        <v>54</v>
      </c>
      <c r="I17" s="4">
        <v>2</v>
      </c>
      <c r="J17" s="5">
        <v>45</v>
      </c>
      <c r="K17" s="4">
        <f t="shared" si="1"/>
        <v>90</v>
      </c>
      <c r="L17" s="4">
        <f t="shared" si="2"/>
        <v>2925</v>
      </c>
    </row>
    <row r="18" ht="18" customHeight="1" spans="1:12">
      <c r="A18" s="4">
        <v>16</v>
      </c>
      <c r="B18" s="4" t="s">
        <v>55</v>
      </c>
      <c r="C18" s="7">
        <v>902</v>
      </c>
      <c r="D18" s="7">
        <v>916</v>
      </c>
      <c r="E18" s="7">
        <v>916</v>
      </c>
      <c r="F18" s="7">
        <v>3</v>
      </c>
      <c r="G18" s="4">
        <f t="shared" si="0"/>
        <v>2748</v>
      </c>
      <c r="H18" s="4" t="s">
        <v>56</v>
      </c>
      <c r="I18" s="4">
        <v>2</v>
      </c>
      <c r="J18" s="5">
        <v>48</v>
      </c>
      <c r="K18" s="4">
        <f t="shared" si="1"/>
        <v>96</v>
      </c>
      <c r="L18" s="4">
        <f t="shared" si="2"/>
        <v>2844</v>
      </c>
    </row>
    <row r="19" ht="18" customHeight="1" spans="1:12">
      <c r="A19" s="4">
        <v>17</v>
      </c>
      <c r="B19" s="4" t="s">
        <v>57</v>
      </c>
      <c r="C19" s="7">
        <v>506</v>
      </c>
      <c r="D19" s="7">
        <v>524</v>
      </c>
      <c r="E19" s="7">
        <v>524</v>
      </c>
      <c r="F19" s="7">
        <v>3</v>
      </c>
      <c r="G19" s="4">
        <f t="shared" si="0"/>
        <v>1572</v>
      </c>
      <c r="H19" s="4" t="s">
        <v>58</v>
      </c>
      <c r="I19" s="4">
        <v>5</v>
      </c>
      <c r="J19" s="5">
        <v>51</v>
      </c>
      <c r="K19" s="4">
        <f t="shared" si="1"/>
        <v>255</v>
      </c>
      <c r="L19" s="4">
        <f t="shared" si="2"/>
        <v>1827</v>
      </c>
    </row>
    <row r="20" ht="18" customHeight="1" spans="1:12">
      <c r="A20" s="4">
        <v>18</v>
      </c>
      <c r="B20" s="4" t="s">
        <v>59</v>
      </c>
      <c r="C20" s="7">
        <v>553</v>
      </c>
      <c r="D20" s="7">
        <v>485</v>
      </c>
      <c r="E20" s="7">
        <v>485</v>
      </c>
      <c r="F20" s="7">
        <v>3</v>
      </c>
      <c r="G20" s="4">
        <f t="shared" si="0"/>
        <v>1455</v>
      </c>
      <c r="H20" s="4" t="s">
        <v>60</v>
      </c>
      <c r="I20" s="4">
        <v>2</v>
      </c>
      <c r="J20" s="5">
        <v>54</v>
      </c>
      <c r="K20" s="4">
        <f t="shared" si="1"/>
        <v>108</v>
      </c>
      <c r="L20" s="4">
        <f t="shared" si="2"/>
        <v>1563</v>
      </c>
    </row>
    <row r="21" ht="18" customHeight="1" spans="1:12">
      <c r="A21" s="4">
        <v>19</v>
      </c>
      <c r="B21" s="4" t="s">
        <v>61</v>
      </c>
      <c r="C21" s="7">
        <v>784</v>
      </c>
      <c r="D21" s="7">
        <v>681</v>
      </c>
      <c r="E21" s="7">
        <v>681</v>
      </c>
      <c r="F21" s="7">
        <v>3</v>
      </c>
      <c r="G21" s="4">
        <f t="shared" si="0"/>
        <v>2043</v>
      </c>
      <c r="H21" s="4" t="s">
        <v>62</v>
      </c>
      <c r="I21" s="4">
        <v>3</v>
      </c>
      <c r="J21" s="5">
        <v>57</v>
      </c>
      <c r="K21" s="4">
        <f t="shared" si="1"/>
        <v>171</v>
      </c>
      <c r="L21" s="4">
        <f t="shared" si="2"/>
        <v>2214</v>
      </c>
    </row>
    <row r="22" ht="18" customHeight="1" spans="1:12">
      <c r="A22" s="4">
        <v>20</v>
      </c>
      <c r="B22" s="4" t="s">
        <v>63</v>
      </c>
      <c r="C22" s="7">
        <v>659</v>
      </c>
      <c r="D22" s="7">
        <v>797</v>
      </c>
      <c r="E22" s="7">
        <v>797</v>
      </c>
      <c r="F22" s="7">
        <v>3</v>
      </c>
      <c r="G22" s="4">
        <f t="shared" si="0"/>
        <v>2391</v>
      </c>
      <c r="H22" s="4" t="s">
        <v>64</v>
      </c>
      <c r="I22" s="4">
        <v>3</v>
      </c>
      <c r="J22" s="5">
        <v>60</v>
      </c>
      <c r="K22" s="4">
        <f t="shared" si="1"/>
        <v>180</v>
      </c>
      <c r="L22" s="4">
        <f t="shared" si="2"/>
        <v>2571</v>
      </c>
    </row>
    <row r="23" ht="18" customHeight="1" spans="1:12">
      <c r="A23" s="4">
        <v>21</v>
      </c>
      <c r="B23" s="4" t="s">
        <v>65</v>
      </c>
      <c r="C23" s="7">
        <v>891</v>
      </c>
      <c r="D23" s="7">
        <v>883</v>
      </c>
      <c r="E23" s="7">
        <v>883</v>
      </c>
      <c r="F23" s="7">
        <v>3</v>
      </c>
      <c r="G23" s="4">
        <f t="shared" si="0"/>
        <v>2649</v>
      </c>
      <c r="H23" s="4" t="s">
        <v>66</v>
      </c>
      <c r="I23" s="4">
        <v>5</v>
      </c>
      <c r="J23" s="5">
        <v>63</v>
      </c>
      <c r="K23" s="4">
        <f t="shared" si="1"/>
        <v>315</v>
      </c>
      <c r="L23" s="4">
        <f t="shared" si="2"/>
        <v>2964</v>
      </c>
    </row>
    <row r="24" ht="18" customHeight="1" spans="1:12">
      <c r="A24" s="4">
        <v>22</v>
      </c>
      <c r="B24" s="4" t="s">
        <v>67</v>
      </c>
      <c r="C24" s="7">
        <v>912</v>
      </c>
      <c r="D24" s="7">
        <v>924</v>
      </c>
      <c r="E24" s="7">
        <v>924</v>
      </c>
      <c r="F24" s="7">
        <v>3</v>
      </c>
      <c r="G24" s="4">
        <f t="shared" si="0"/>
        <v>2772</v>
      </c>
      <c r="H24" s="4" t="s">
        <v>68</v>
      </c>
      <c r="I24" s="4">
        <v>1</v>
      </c>
      <c r="J24" s="5">
        <v>66</v>
      </c>
      <c r="K24" s="4">
        <f t="shared" si="1"/>
        <v>66</v>
      </c>
      <c r="L24" s="4">
        <f t="shared" si="2"/>
        <v>2838</v>
      </c>
    </row>
    <row r="25" ht="18" customHeight="1" spans="1:12">
      <c r="A25" s="4">
        <v>23</v>
      </c>
      <c r="B25" s="4" t="s">
        <v>69</v>
      </c>
      <c r="C25" s="7">
        <v>927</v>
      </c>
      <c r="D25" s="7">
        <v>942</v>
      </c>
      <c r="E25" s="7">
        <v>942</v>
      </c>
      <c r="F25" s="7">
        <v>3</v>
      </c>
      <c r="G25" s="4">
        <f t="shared" si="0"/>
        <v>2826</v>
      </c>
      <c r="H25" s="4" t="s">
        <v>70</v>
      </c>
      <c r="I25" s="4">
        <v>0</v>
      </c>
      <c r="J25" s="5">
        <v>69</v>
      </c>
      <c r="K25" s="4">
        <f t="shared" si="1"/>
        <v>0</v>
      </c>
      <c r="L25" s="4">
        <f t="shared" si="2"/>
        <v>2826</v>
      </c>
    </row>
    <row r="26" ht="18" customHeight="1" spans="1:12">
      <c r="A26" s="4">
        <v>24</v>
      </c>
      <c r="B26" s="4" t="s">
        <v>71</v>
      </c>
      <c r="C26" s="7">
        <v>591</v>
      </c>
      <c r="D26" s="7">
        <v>636</v>
      </c>
      <c r="E26" s="7">
        <v>636</v>
      </c>
      <c r="F26" s="7">
        <v>3</v>
      </c>
      <c r="G26" s="4">
        <f t="shared" si="0"/>
        <v>1908</v>
      </c>
      <c r="H26" s="4" t="s">
        <v>72</v>
      </c>
      <c r="I26" s="4">
        <v>1</v>
      </c>
      <c r="J26" s="5">
        <v>72</v>
      </c>
      <c r="K26" s="4">
        <f t="shared" si="1"/>
        <v>72</v>
      </c>
      <c r="L26" s="4">
        <f t="shared" si="2"/>
        <v>1980</v>
      </c>
    </row>
    <row r="27" ht="18" customHeight="1" spans="1:12">
      <c r="A27" s="4">
        <v>25</v>
      </c>
      <c r="B27" s="4" t="s">
        <v>73</v>
      </c>
      <c r="C27" s="7">
        <v>512</v>
      </c>
      <c r="D27" s="7">
        <v>502</v>
      </c>
      <c r="E27" s="7">
        <v>502</v>
      </c>
      <c r="F27" s="7">
        <v>3</v>
      </c>
      <c r="G27" s="4">
        <f t="shared" si="0"/>
        <v>1506</v>
      </c>
      <c r="H27" s="4" t="s">
        <v>74</v>
      </c>
      <c r="I27" s="4">
        <v>2</v>
      </c>
      <c r="J27" s="5">
        <v>75</v>
      </c>
      <c r="K27" s="4">
        <f t="shared" si="1"/>
        <v>150</v>
      </c>
      <c r="L27" s="4">
        <f t="shared" si="2"/>
        <v>1656</v>
      </c>
    </row>
    <row r="28" ht="18" customHeight="1" spans="1:12">
      <c r="A28" s="4">
        <v>26</v>
      </c>
      <c r="B28" s="4" t="s">
        <v>75</v>
      </c>
      <c r="C28" s="7">
        <v>939</v>
      </c>
      <c r="D28" s="7">
        <v>908</v>
      </c>
      <c r="E28" s="7">
        <v>908</v>
      </c>
      <c r="F28" s="7">
        <v>3</v>
      </c>
      <c r="G28" s="4">
        <f t="shared" si="0"/>
        <v>2724</v>
      </c>
      <c r="H28" s="4" t="s">
        <v>76</v>
      </c>
      <c r="I28" s="4">
        <v>1</v>
      </c>
      <c r="J28" s="5">
        <v>78</v>
      </c>
      <c r="K28" s="4">
        <f t="shared" si="1"/>
        <v>78</v>
      </c>
      <c r="L28" s="4">
        <f t="shared" si="2"/>
        <v>2802</v>
      </c>
    </row>
    <row r="29" ht="18" customHeight="1" spans="1:12">
      <c r="A29" s="4">
        <v>27</v>
      </c>
      <c r="B29" s="4" t="s">
        <v>77</v>
      </c>
      <c r="C29" s="7">
        <v>931</v>
      </c>
      <c r="D29" s="7">
        <v>936</v>
      </c>
      <c r="E29" s="7">
        <v>936</v>
      </c>
      <c r="F29" s="7">
        <v>3</v>
      </c>
      <c r="G29" s="4">
        <f t="shared" si="0"/>
        <v>2808</v>
      </c>
      <c r="H29" s="4" t="s">
        <v>78</v>
      </c>
      <c r="I29" s="4">
        <v>1</v>
      </c>
      <c r="J29" s="5">
        <v>81</v>
      </c>
      <c r="K29" s="4">
        <f t="shared" si="1"/>
        <v>81</v>
      </c>
      <c r="L29" s="4">
        <f t="shared" si="2"/>
        <v>2889</v>
      </c>
    </row>
    <row r="30" ht="18" customHeight="1" spans="1:12">
      <c r="A30" s="4">
        <v>28</v>
      </c>
      <c r="B30" s="4" t="s">
        <v>79</v>
      </c>
      <c r="C30" s="7">
        <v>928</v>
      </c>
      <c r="D30" s="7">
        <v>926</v>
      </c>
      <c r="E30" s="7">
        <v>926</v>
      </c>
      <c r="F30" s="7">
        <v>3</v>
      </c>
      <c r="G30" s="4">
        <f t="shared" si="0"/>
        <v>2778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2778</v>
      </c>
    </row>
    <row r="31" ht="18" customHeight="1" spans="1:12">
      <c r="A31" s="4">
        <v>29</v>
      </c>
      <c r="B31" s="4" t="s">
        <v>81</v>
      </c>
      <c r="C31" s="7">
        <v>942</v>
      </c>
      <c r="D31" s="7">
        <v>918</v>
      </c>
      <c r="E31" s="7">
        <v>918</v>
      </c>
      <c r="F31" s="7">
        <v>3</v>
      </c>
      <c r="G31" s="4">
        <f t="shared" si="0"/>
        <v>2754</v>
      </c>
      <c r="H31" s="4" t="s">
        <v>82</v>
      </c>
      <c r="I31" s="4">
        <v>1</v>
      </c>
      <c r="J31" s="5">
        <v>87</v>
      </c>
      <c r="K31" s="4">
        <f t="shared" si="1"/>
        <v>87</v>
      </c>
      <c r="L31" s="4">
        <f t="shared" si="2"/>
        <v>2841</v>
      </c>
    </row>
    <row r="32" ht="18" customHeight="1" spans="1:12">
      <c r="A32" s="4">
        <v>30</v>
      </c>
      <c r="B32" s="4" t="s">
        <v>83</v>
      </c>
      <c r="C32" s="7">
        <v>888</v>
      </c>
      <c r="D32" s="7">
        <v>933</v>
      </c>
      <c r="E32" s="7">
        <v>933</v>
      </c>
      <c r="F32" s="7">
        <v>3</v>
      </c>
      <c r="G32" s="4">
        <f t="shared" si="0"/>
        <v>2799</v>
      </c>
      <c r="H32" s="4" t="s">
        <v>84</v>
      </c>
      <c r="I32" s="4">
        <v>0</v>
      </c>
      <c r="J32" s="5">
        <v>90</v>
      </c>
      <c r="K32" s="4">
        <f t="shared" si="1"/>
        <v>0</v>
      </c>
      <c r="L32" s="4">
        <f t="shared" si="2"/>
        <v>2799</v>
      </c>
    </row>
    <row r="33" ht="18" customHeight="1" spans="1:12">
      <c r="A33" s="7">
        <v>31</v>
      </c>
      <c r="B33" s="4" t="s">
        <v>85</v>
      </c>
      <c r="C33" s="7">
        <v>550</v>
      </c>
      <c r="D33" s="7">
        <v>581</v>
      </c>
      <c r="E33" s="7">
        <v>581</v>
      </c>
      <c r="F33" s="7">
        <v>3</v>
      </c>
      <c r="G33" s="4">
        <f t="shared" si="0"/>
        <v>1743</v>
      </c>
      <c r="H33" s="4" t="s">
        <v>86</v>
      </c>
      <c r="I33" s="4">
        <v>1</v>
      </c>
      <c r="J33" s="4">
        <v>93</v>
      </c>
      <c r="K33" s="4">
        <f t="shared" si="1"/>
        <v>93</v>
      </c>
      <c r="L33" s="4">
        <f t="shared" si="2"/>
        <v>1836</v>
      </c>
    </row>
    <row r="34" ht="18" customHeight="1" spans="1:12">
      <c r="A34" s="4" t="s">
        <v>87</v>
      </c>
      <c r="B34" s="8"/>
      <c r="C34" s="7">
        <f>SUM(C3:C33)</f>
        <v>23937</v>
      </c>
      <c r="D34" s="7">
        <f>SUM(D3:D33)</f>
        <v>24019</v>
      </c>
      <c r="E34" s="7">
        <f>SUM(E3:E33)</f>
        <v>24019</v>
      </c>
      <c r="F34" s="7">
        <v>3</v>
      </c>
      <c r="G34" s="4">
        <f t="shared" si="0"/>
        <v>72057</v>
      </c>
      <c r="H34" s="7"/>
      <c r="I34" s="7"/>
      <c r="J34" s="8"/>
      <c r="K34" s="4">
        <f>SUM(K3:K33)</f>
        <v>15198</v>
      </c>
      <c r="L34" s="4">
        <f>SUM(L3:L33)</f>
        <v>87255</v>
      </c>
    </row>
  </sheetData>
  <mergeCells count="3">
    <mergeCell ref="A1:L1"/>
    <mergeCell ref="H2:J2"/>
    <mergeCell ref="H34:J34"/>
  </mergeCells>
  <pageMargins left="0.7" right="0.7" top="0.75" bottom="0.75" header="0.3" footer="0.3"/>
  <pageSetup paperSize="3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zoomScale="90" zoomScaleNormal="90" workbookViewId="0">
      <selection activeCell="I3" sqref="I3:I30"/>
    </sheetView>
  </sheetViews>
  <sheetFormatPr defaultColWidth="9" defaultRowHeight="13.5"/>
  <cols>
    <col min="1" max="1" width="11.2583333333333" customWidth="1"/>
    <col min="2" max="5" width="15.625" customWidth="1"/>
    <col min="6" max="6" width="18.375" customWidth="1"/>
    <col min="7" max="7" width="17.625" customWidth="1"/>
    <col min="8" max="9" width="9.5" customWidth="1"/>
    <col min="10" max="10" width="9.25833333333333" customWidth="1"/>
    <col min="11" max="11" width="21.5" customWidth="1"/>
    <col min="12" max="12" width="19.125" customWidth="1"/>
  </cols>
  <sheetData>
    <row r="1" ht="40" customHeight="1" spans="1:12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6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9" t="s">
        <v>89</v>
      </c>
      <c r="C3" s="4">
        <v>511</v>
      </c>
      <c r="D3" s="4">
        <v>510</v>
      </c>
      <c r="E3" s="4">
        <v>510</v>
      </c>
      <c r="F3" s="4">
        <v>3</v>
      </c>
      <c r="G3" s="4">
        <f t="shared" ref="G3:G34" si="0">E3*F3</f>
        <v>1530</v>
      </c>
      <c r="H3" s="4" t="s">
        <v>26</v>
      </c>
      <c r="I3" s="4">
        <v>1397</v>
      </c>
      <c r="J3" s="5">
        <v>3</v>
      </c>
      <c r="K3" s="4">
        <f>I3*J3</f>
        <v>4191</v>
      </c>
      <c r="L3" s="4">
        <f>G3+K3</f>
        <v>5721</v>
      </c>
    </row>
    <row r="4" ht="18" customHeight="1" spans="1:12">
      <c r="A4" s="4">
        <v>2</v>
      </c>
      <c r="B4" s="4" t="s">
        <v>90</v>
      </c>
      <c r="C4" s="4">
        <v>937</v>
      </c>
      <c r="D4" s="4">
        <v>895</v>
      </c>
      <c r="E4" s="4">
        <v>895</v>
      </c>
      <c r="F4" s="7">
        <v>3</v>
      </c>
      <c r="G4" s="4">
        <f t="shared" si="0"/>
        <v>2685</v>
      </c>
      <c r="H4" s="4" t="s">
        <v>28</v>
      </c>
      <c r="I4" s="4">
        <v>248</v>
      </c>
      <c r="J4" s="5">
        <v>6</v>
      </c>
      <c r="K4" s="4">
        <f t="shared" ref="K4:K30" si="1">I4*J4</f>
        <v>1488</v>
      </c>
      <c r="L4" s="4">
        <f t="shared" ref="L4:L31" si="2">G4+K4</f>
        <v>4173</v>
      </c>
    </row>
    <row r="5" ht="18" customHeight="1" spans="1:12">
      <c r="A5" s="4">
        <v>3</v>
      </c>
      <c r="B5" s="4" t="s">
        <v>91</v>
      </c>
      <c r="C5" s="4">
        <v>910</v>
      </c>
      <c r="D5" s="4">
        <v>917</v>
      </c>
      <c r="E5" s="4">
        <v>917</v>
      </c>
      <c r="F5" s="7">
        <v>3</v>
      </c>
      <c r="G5" s="4">
        <f t="shared" si="0"/>
        <v>2751</v>
      </c>
      <c r="H5" s="4" t="s">
        <v>30</v>
      </c>
      <c r="I5" s="4">
        <v>123</v>
      </c>
      <c r="J5" s="5">
        <v>9</v>
      </c>
      <c r="K5" s="4">
        <f t="shared" si="1"/>
        <v>1107</v>
      </c>
      <c r="L5" s="4">
        <f t="shared" si="2"/>
        <v>3858</v>
      </c>
    </row>
    <row r="6" ht="18" customHeight="1" spans="1:12">
      <c r="A6" s="4">
        <v>4</v>
      </c>
      <c r="B6" s="4" t="s">
        <v>92</v>
      </c>
      <c r="C6" s="4">
        <v>928</v>
      </c>
      <c r="D6" s="4">
        <v>932</v>
      </c>
      <c r="E6" s="4">
        <v>932</v>
      </c>
      <c r="F6" s="7">
        <v>3</v>
      </c>
      <c r="G6" s="4">
        <f t="shared" si="0"/>
        <v>2796</v>
      </c>
      <c r="H6" s="4" t="s">
        <v>32</v>
      </c>
      <c r="I6" s="4">
        <v>69</v>
      </c>
      <c r="J6" s="5">
        <v>12</v>
      </c>
      <c r="K6" s="4">
        <f t="shared" si="1"/>
        <v>828</v>
      </c>
      <c r="L6" s="4">
        <f t="shared" si="2"/>
        <v>3624</v>
      </c>
    </row>
    <row r="7" ht="18" customHeight="1" spans="1:12">
      <c r="A7" s="4">
        <v>5</v>
      </c>
      <c r="B7" s="4" t="s">
        <v>93</v>
      </c>
      <c r="C7" s="4">
        <v>913</v>
      </c>
      <c r="D7" s="4">
        <v>918</v>
      </c>
      <c r="E7" s="4">
        <v>918</v>
      </c>
      <c r="F7" s="7">
        <v>3</v>
      </c>
      <c r="G7" s="4">
        <f t="shared" si="0"/>
        <v>2754</v>
      </c>
      <c r="H7" s="4" t="s">
        <v>34</v>
      </c>
      <c r="I7" s="4">
        <v>36</v>
      </c>
      <c r="J7" s="5">
        <v>15</v>
      </c>
      <c r="K7" s="4">
        <f t="shared" si="1"/>
        <v>540</v>
      </c>
      <c r="L7" s="4">
        <f t="shared" si="2"/>
        <v>3294</v>
      </c>
    </row>
    <row r="8" ht="18" customHeight="1" spans="1:12">
      <c r="A8" s="4">
        <v>6</v>
      </c>
      <c r="B8" s="4" t="s">
        <v>94</v>
      </c>
      <c r="C8" s="7">
        <v>943</v>
      </c>
      <c r="D8" s="7">
        <v>952</v>
      </c>
      <c r="E8" s="7">
        <v>952</v>
      </c>
      <c r="F8" s="7">
        <v>3</v>
      </c>
      <c r="G8" s="4">
        <f t="shared" si="0"/>
        <v>2856</v>
      </c>
      <c r="H8" s="4" t="s">
        <v>36</v>
      </c>
      <c r="I8" s="4">
        <v>39</v>
      </c>
      <c r="J8" s="5">
        <v>18</v>
      </c>
      <c r="K8" s="4">
        <f t="shared" si="1"/>
        <v>702</v>
      </c>
      <c r="L8" s="4">
        <f t="shared" si="2"/>
        <v>3558</v>
      </c>
    </row>
    <row r="9" ht="18" customHeight="1" spans="1:12">
      <c r="A9" s="4">
        <v>7</v>
      </c>
      <c r="B9" s="4" t="s">
        <v>95</v>
      </c>
      <c r="C9" s="7">
        <v>516</v>
      </c>
      <c r="D9" s="7">
        <v>553</v>
      </c>
      <c r="E9" s="7">
        <v>553</v>
      </c>
      <c r="F9" s="7">
        <v>3</v>
      </c>
      <c r="G9" s="4">
        <f t="shared" si="0"/>
        <v>1659</v>
      </c>
      <c r="H9" s="4" t="s">
        <v>38</v>
      </c>
      <c r="I9" s="4">
        <v>24</v>
      </c>
      <c r="J9" s="5">
        <v>21</v>
      </c>
      <c r="K9" s="4">
        <f t="shared" si="1"/>
        <v>504</v>
      </c>
      <c r="L9" s="4">
        <f t="shared" si="2"/>
        <v>2163</v>
      </c>
    </row>
    <row r="10" ht="18" customHeight="1" spans="1:12">
      <c r="A10" s="4">
        <v>8</v>
      </c>
      <c r="B10" s="4" t="s">
        <v>96</v>
      </c>
      <c r="C10" s="7">
        <v>515</v>
      </c>
      <c r="D10" s="7">
        <v>516</v>
      </c>
      <c r="E10" s="7">
        <v>516</v>
      </c>
      <c r="F10" s="7">
        <v>3</v>
      </c>
      <c r="G10" s="4">
        <f t="shared" si="0"/>
        <v>1548</v>
      </c>
      <c r="H10" s="4" t="s">
        <v>40</v>
      </c>
      <c r="I10" s="4">
        <v>12</v>
      </c>
      <c r="J10" s="5">
        <v>24</v>
      </c>
      <c r="K10" s="4">
        <f t="shared" si="1"/>
        <v>288</v>
      </c>
      <c r="L10" s="4">
        <f t="shared" si="2"/>
        <v>1836</v>
      </c>
    </row>
    <row r="11" ht="18" customHeight="1" spans="1:12">
      <c r="A11" s="4">
        <v>9</v>
      </c>
      <c r="B11" s="4" t="s">
        <v>97</v>
      </c>
      <c r="C11" s="7">
        <v>952</v>
      </c>
      <c r="D11" s="7">
        <v>951</v>
      </c>
      <c r="E11" s="7">
        <v>951</v>
      </c>
      <c r="F11" s="7">
        <v>3</v>
      </c>
      <c r="G11" s="4">
        <f t="shared" si="0"/>
        <v>2853</v>
      </c>
      <c r="H11" s="4" t="s">
        <v>42</v>
      </c>
      <c r="I11" s="4">
        <v>8</v>
      </c>
      <c r="J11" s="5">
        <v>27</v>
      </c>
      <c r="K11" s="4">
        <f t="shared" si="1"/>
        <v>216</v>
      </c>
      <c r="L11" s="4">
        <f t="shared" si="2"/>
        <v>3069</v>
      </c>
    </row>
    <row r="12" ht="18" customHeight="1" spans="1:12">
      <c r="A12" s="4">
        <v>10</v>
      </c>
      <c r="B12" s="4" t="s">
        <v>98</v>
      </c>
      <c r="C12" s="7">
        <v>946</v>
      </c>
      <c r="D12" s="7">
        <v>922</v>
      </c>
      <c r="E12" s="7">
        <v>922</v>
      </c>
      <c r="F12" s="7">
        <v>3</v>
      </c>
      <c r="G12" s="4">
        <f t="shared" si="0"/>
        <v>2766</v>
      </c>
      <c r="H12" s="4" t="s">
        <v>44</v>
      </c>
      <c r="I12" s="4">
        <v>9</v>
      </c>
      <c r="J12" s="5">
        <v>30</v>
      </c>
      <c r="K12" s="4">
        <f t="shared" si="1"/>
        <v>270</v>
      </c>
      <c r="L12" s="4">
        <f t="shared" si="2"/>
        <v>3036</v>
      </c>
    </row>
    <row r="13" ht="18" customHeight="1" spans="1:12">
      <c r="A13" s="4">
        <v>11</v>
      </c>
      <c r="B13" s="4" t="s">
        <v>99</v>
      </c>
      <c r="C13" s="7">
        <v>901</v>
      </c>
      <c r="D13" s="7">
        <v>904</v>
      </c>
      <c r="E13" s="7">
        <v>904</v>
      </c>
      <c r="F13" s="7">
        <v>3</v>
      </c>
      <c r="G13" s="4">
        <f t="shared" si="0"/>
        <v>2712</v>
      </c>
      <c r="H13" s="4" t="s">
        <v>46</v>
      </c>
      <c r="I13" s="4">
        <v>6</v>
      </c>
      <c r="J13" s="5">
        <v>33</v>
      </c>
      <c r="K13" s="4">
        <f t="shared" si="1"/>
        <v>198</v>
      </c>
      <c r="L13" s="4">
        <f t="shared" si="2"/>
        <v>2910</v>
      </c>
    </row>
    <row r="14" ht="18" customHeight="1" spans="1:12">
      <c r="A14" s="4">
        <v>12</v>
      </c>
      <c r="B14" s="4" t="s">
        <v>100</v>
      </c>
      <c r="C14" s="7">
        <v>898</v>
      </c>
      <c r="D14" s="7">
        <v>920</v>
      </c>
      <c r="E14" s="7">
        <v>920</v>
      </c>
      <c r="F14" s="7">
        <v>3</v>
      </c>
      <c r="G14" s="4">
        <f t="shared" si="0"/>
        <v>2760</v>
      </c>
      <c r="H14" s="4" t="s">
        <v>48</v>
      </c>
      <c r="I14" s="4">
        <v>5</v>
      </c>
      <c r="J14" s="5">
        <v>36</v>
      </c>
      <c r="K14" s="4">
        <f t="shared" si="1"/>
        <v>180</v>
      </c>
      <c r="L14" s="4">
        <f t="shared" si="2"/>
        <v>2940</v>
      </c>
    </row>
    <row r="15" ht="18" customHeight="1" spans="1:12">
      <c r="A15" s="4">
        <v>13</v>
      </c>
      <c r="B15" s="4" t="s">
        <v>101</v>
      </c>
      <c r="C15" s="7">
        <v>875</v>
      </c>
      <c r="D15" s="7">
        <v>894</v>
      </c>
      <c r="E15" s="7">
        <v>894</v>
      </c>
      <c r="F15" s="7">
        <v>3</v>
      </c>
      <c r="G15" s="4">
        <f t="shared" si="0"/>
        <v>2682</v>
      </c>
      <c r="H15" s="4" t="s">
        <v>50</v>
      </c>
      <c r="I15" s="4">
        <v>5</v>
      </c>
      <c r="J15" s="5">
        <v>39</v>
      </c>
      <c r="K15" s="4">
        <f t="shared" si="1"/>
        <v>195</v>
      </c>
      <c r="L15" s="4">
        <f t="shared" si="2"/>
        <v>2877</v>
      </c>
    </row>
    <row r="16" ht="18" customHeight="1" spans="1:12">
      <c r="A16" s="4">
        <v>14</v>
      </c>
      <c r="B16" s="4" t="s">
        <v>102</v>
      </c>
      <c r="C16" s="7">
        <v>825</v>
      </c>
      <c r="D16" s="7">
        <v>850</v>
      </c>
      <c r="E16" s="7">
        <v>850</v>
      </c>
      <c r="F16" s="7">
        <v>3</v>
      </c>
      <c r="G16" s="4">
        <f t="shared" si="0"/>
        <v>2550</v>
      </c>
      <c r="H16" s="4" t="s">
        <v>52</v>
      </c>
      <c r="I16" s="4">
        <v>0</v>
      </c>
      <c r="J16" s="5">
        <v>42</v>
      </c>
      <c r="K16" s="4">
        <f t="shared" si="1"/>
        <v>0</v>
      </c>
      <c r="L16" s="4">
        <f t="shared" si="2"/>
        <v>2550</v>
      </c>
    </row>
    <row r="17" ht="18" customHeight="1" spans="1:12">
      <c r="A17" s="4">
        <v>15</v>
      </c>
      <c r="B17" s="4" t="s">
        <v>103</v>
      </c>
      <c r="C17" s="7">
        <v>656</v>
      </c>
      <c r="D17" s="7">
        <v>678</v>
      </c>
      <c r="E17" s="7">
        <v>678</v>
      </c>
      <c r="F17" s="7">
        <v>3</v>
      </c>
      <c r="G17" s="4">
        <f t="shared" si="0"/>
        <v>2034</v>
      </c>
      <c r="H17" s="4" t="s">
        <v>54</v>
      </c>
      <c r="I17" s="4">
        <v>1</v>
      </c>
      <c r="J17" s="5">
        <v>45</v>
      </c>
      <c r="K17" s="4">
        <f t="shared" si="1"/>
        <v>45</v>
      </c>
      <c r="L17" s="4">
        <f t="shared" si="2"/>
        <v>2079</v>
      </c>
    </row>
    <row r="18" ht="18" customHeight="1" spans="1:12">
      <c r="A18" s="4">
        <v>16</v>
      </c>
      <c r="B18" s="4" t="s">
        <v>104</v>
      </c>
      <c r="C18" s="7">
        <v>316</v>
      </c>
      <c r="D18" s="7">
        <v>334</v>
      </c>
      <c r="E18" s="7">
        <v>334</v>
      </c>
      <c r="F18" s="7">
        <v>3</v>
      </c>
      <c r="G18" s="4">
        <f t="shared" si="0"/>
        <v>1002</v>
      </c>
      <c r="H18" s="4" t="s">
        <v>56</v>
      </c>
      <c r="I18" s="4">
        <v>1</v>
      </c>
      <c r="J18" s="5">
        <v>48</v>
      </c>
      <c r="K18" s="4">
        <f t="shared" si="1"/>
        <v>48</v>
      </c>
      <c r="L18" s="4">
        <f t="shared" si="2"/>
        <v>1050</v>
      </c>
    </row>
    <row r="19" ht="18" customHeight="1" spans="1:12">
      <c r="A19" s="4">
        <v>17</v>
      </c>
      <c r="B19" s="4" t="s">
        <v>105</v>
      </c>
      <c r="C19" s="7">
        <v>247</v>
      </c>
      <c r="D19" s="7">
        <v>256</v>
      </c>
      <c r="E19" s="7">
        <v>256</v>
      </c>
      <c r="F19" s="7">
        <v>3</v>
      </c>
      <c r="G19" s="4">
        <f t="shared" si="0"/>
        <v>768</v>
      </c>
      <c r="H19" s="4" t="s">
        <v>58</v>
      </c>
      <c r="I19" s="4">
        <v>1</v>
      </c>
      <c r="J19" s="5">
        <v>51</v>
      </c>
      <c r="K19" s="4">
        <f t="shared" si="1"/>
        <v>51</v>
      </c>
      <c r="L19" s="4">
        <f t="shared" si="2"/>
        <v>819</v>
      </c>
    </row>
    <row r="20" ht="18" customHeight="1" spans="1:12">
      <c r="A20" s="4">
        <v>18</v>
      </c>
      <c r="B20" s="4" t="s">
        <v>106</v>
      </c>
      <c r="C20" s="7">
        <v>242</v>
      </c>
      <c r="D20" s="7">
        <v>243</v>
      </c>
      <c r="E20" s="7">
        <v>243</v>
      </c>
      <c r="F20" s="7">
        <v>3</v>
      </c>
      <c r="G20" s="4">
        <f t="shared" si="0"/>
        <v>729</v>
      </c>
      <c r="H20" s="4" t="s">
        <v>60</v>
      </c>
      <c r="I20" s="4">
        <v>2</v>
      </c>
      <c r="J20" s="5">
        <v>54</v>
      </c>
      <c r="K20" s="4">
        <f t="shared" si="1"/>
        <v>108</v>
      </c>
      <c r="L20" s="4">
        <f t="shared" si="2"/>
        <v>837</v>
      </c>
    </row>
    <row r="21" ht="18" customHeight="1" spans="1:12">
      <c r="A21" s="4">
        <v>19</v>
      </c>
      <c r="B21" s="4" t="s">
        <v>107</v>
      </c>
      <c r="C21" s="7">
        <v>259</v>
      </c>
      <c r="D21" s="7">
        <v>257</v>
      </c>
      <c r="E21" s="7">
        <v>257</v>
      </c>
      <c r="F21" s="7">
        <v>3</v>
      </c>
      <c r="G21" s="4">
        <f t="shared" si="0"/>
        <v>771</v>
      </c>
      <c r="H21" s="4" t="s">
        <v>62</v>
      </c>
      <c r="I21" s="4">
        <v>0</v>
      </c>
      <c r="J21" s="5">
        <v>57</v>
      </c>
      <c r="K21" s="4">
        <f t="shared" si="1"/>
        <v>0</v>
      </c>
      <c r="L21" s="4">
        <f t="shared" si="2"/>
        <v>771</v>
      </c>
    </row>
    <row r="22" ht="18" customHeight="1" spans="1:12">
      <c r="A22" s="4">
        <v>20</v>
      </c>
      <c r="B22" s="4" t="s">
        <v>108</v>
      </c>
      <c r="C22" s="7">
        <v>271</v>
      </c>
      <c r="D22" s="7">
        <v>272</v>
      </c>
      <c r="E22" s="7">
        <v>272</v>
      </c>
      <c r="F22" s="7">
        <v>3</v>
      </c>
      <c r="G22" s="4">
        <f t="shared" si="0"/>
        <v>816</v>
      </c>
      <c r="H22" s="4" t="s">
        <v>64</v>
      </c>
      <c r="I22" s="4">
        <v>1</v>
      </c>
      <c r="J22" s="5">
        <v>60</v>
      </c>
      <c r="K22" s="4">
        <f t="shared" si="1"/>
        <v>60</v>
      </c>
      <c r="L22" s="4">
        <f t="shared" si="2"/>
        <v>876</v>
      </c>
    </row>
    <row r="23" ht="18" customHeight="1" spans="1:12">
      <c r="A23" s="4">
        <v>21</v>
      </c>
      <c r="B23" s="4" t="s">
        <v>109</v>
      </c>
      <c r="C23" s="7">
        <v>346</v>
      </c>
      <c r="D23" s="7">
        <v>326</v>
      </c>
      <c r="E23" s="7">
        <v>326</v>
      </c>
      <c r="F23" s="7">
        <v>3</v>
      </c>
      <c r="G23" s="4">
        <f t="shared" si="0"/>
        <v>978</v>
      </c>
      <c r="H23" s="4" t="s">
        <v>66</v>
      </c>
      <c r="I23" s="4">
        <v>2</v>
      </c>
      <c r="J23" s="5">
        <v>63</v>
      </c>
      <c r="K23" s="4">
        <f t="shared" si="1"/>
        <v>126</v>
      </c>
      <c r="L23" s="4">
        <f t="shared" si="2"/>
        <v>1104</v>
      </c>
    </row>
    <row r="24" ht="18" customHeight="1" spans="1:12">
      <c r="A24" s="4">
        <v>22</v>
      </c>
      <c r="B24" s="4" t="s">
        <v>110</v>
      </c>
      <c r="C24" s="7">
        <v>733</v>
      </c>
      <c r="D24" s="7">
        <v>727</v>
      </c>
      <c r="E24" s="7">
        <v>727</v>
      </c>
      <c r="F24" s="7">
        <v>3</v>
      </c>
      <c r="G24" s="4">
        <f t="shared" si="0"/>
        <v>2181</v>
      </c>
      <c r="H24" s="4" t="s">
        <v>68</v>
      </c>
      <c r="I24" s="4">
        <v>0</v>
      </c>
      <c r="J24" s="5">
        <v>66</v>
      </c>
      <c r="K24" s="4">
        <f t="shared" si="1"/>
        <v>0</v>
      </c>
      <c r="L24" s="4">
        <f t="shared" si="2"/>
        <v>2181</v>
      </c>
    </row>
    <row r="25" ht="18" customHeight="1" spans="1:12">
      <c r="A25" s="4">
        <v>23</v>
      </c>
      <c r="B25" s="4" t="s">
        <v>111</v>
      </c>
      <c r="C25" s="7">
        <v>864</v>
      </c>
      <c r="D25" s="7">
        <v>834</v>
      </c>
      <c r="E25" s="7">
        <v>834</v>
      </c>
      <c r="F25" s="7">
        <v>3</v>
      </c>
      <c r="G25" s="4">
        <f t="shared" si="0"/>
        <v>2502</v>
      </c>
      <c r="H25" s="4" t="s">
        <v>70</v>
      </c>
      <c r="I25" s="4">
        <v>2</v>
      </c>
      <c r="J25" s="5">
        <v>69</v>
      </c>
      <c r="K25" s="4">
        <f t="shared" si="1"/>
        <v>138</v>
      </c>
      <c r="L25" s="4">
        <f t="shared" si="2"/>
        <v>2640</v>
      </c>
    </row>
    <row r="26" ht="18" customHeight="1" spans="1:12">
      <c r="A26" s="4">
        <v>24</v>
      </c>
      <c r="B26" s="4" t="s">
        <v>112</v>
      </c>
      <c r="C26" s="7">
        <v>893</v>
      </c>
      <c r="D26" s="7">
        <v>872</v>
      </c>
      <c r="E26" s="7">
        <v>872</v>
      </c>
      <c r="F26" s="7">
        <v>3</v>
      </c>
      <c r="G26" s="4">
        <f t="shared" si="0"/>
        <v>2616</v>
      </c>
      <c r="H26" s="4" t="s">
        <v>72</v>
      </c>
      <c r="I26" s="4">
        <v>2</v>
      </c>
      <c r="J26" s="5">
        <v>72</v>
      </c>
      <c r="K26" s="4">
        <f t="shared" si="1"/>
        <v>144</v>
      </c>
      <c r="L26" s="4">
        <f t="shared" si="2"/>
        <v>2760</v>
      </c>
    </row>
    <row r="27" ht="18" customHeight="1" spans="1:12">
      <c r="A27" s="4">
        <v>25</v>
      </c>
      <c r="B27" s="4" t="s">
        <v>113</v>
      </c>
      <c r="C27" s="7">
        <v>913</v>
      </c>
      <c r="D27" s="7">
        <v>900</v>
      </c>
      <c r="E27" s="7">
        <v>900</v>
      </c>
      <c r="F27" s="7">
        <v>3</v>
      </c>
      <c r="G27" s="4">
        <f t="shared" si="0"/>
        <v>2700</v>
      </c>
      <c r="H27" s="4" t="s">
        <v>74</v>
      </c>
      <c r="I27" s="4">
        <v>1</v>
      </c>
      <c r="J27" s="5">
        <v>75</v>
      </c>
      <c r="K27" s="4">
        <f t="shared" si="1"/>
        <v>75</v>
      </c>
      <c r="L27" s="4">
        <f t="shared" si="2"/>
        <v>2775</v>
      </c>
    </row>
    <row r="28" ht="18" customHeight="1" spans="1:12">
      <c r="A28" s="4">
        <v>26</v>
      </c>
      <c r="B28" s="4" t="s">
        <v>114</v>
      </c>
      <c r="C28" s="7">
        <v>901</v>
      </c>
      <c r="D28" s="7">
        <v>905</v>
      </c>
      <c r="E28" s="7">
        <v>905</v>
      </c>
      <c r="F28" s="7">
        <v>3</v>
      </c>
      <c r="G28" s="4">
        <f t="shared" si="0"/>
        <v>2715</v>
      </c>
      <c r="H28" s="4" t="s">
        <v>76</v>
      </c>
      <c r="I28" s="4">
        <v>1</v>
      </c>
      <c r="J28" s="5">
        <v>78</v>
      </c>
      <c r="K28" s="4">
        <f t="shared" si="1"/>
        <v>78</v>
      </c>
      <c r="L28" s="4">
        <f t="shared" si="2"/>
        <v>2793</v>
      </c>
    </row>
    <row r="29" ht="18" customHeight="1" spans="1:12">
      <c r="A29" s="4">
        <v>27</v>
      </c>
      <c r="B29" s="4" t="s">
        <v>115</v>
      </c>
      <c r="C29" s="7">
        <v>888</v>
      </c>
      <c r="D29" s="7">
        <v>885</v>
      </c>
      <c r="E29" s="7">
        <v>885</v>
      </c>
      <c r="F29" s="7">
        <v>3</v>
      </c>
      <c r="G29" s="4">
        <f t="shared" si="0"/>
        <v>2655</v>
      </c>
      <c r="H29" s="4" t="s">
        <v>78</v>
      </c>
      <c r="I29" s="4">
        <v>1</v>
      </c>
      <c r="J29" s="5">
        <v>81</v>
      </c>
      <c r="K29" s="4">
        <f t="shared" si="1"/>
        <v>81</v>
      </c>
      <c r="L29" s="4">
        <f t="shared" si="2"/>
        <v>2736</v>
      </c>
    </row>
    <row r="30" ht="18" customHeight="1" spans="1:12">
      <c r="A30" s="4">
        <v>28</v>
      </c>
      <c r="B30" s="4" t="s">
        <v>116</v>
      </c>
      <c r="C30" s="7">
        <v>852</v>
      </c>
      <c r="D30" s="7">
        <v>881</v>
      </c>
      <c r="E30" s="7">
        <v>881</v>
      </c>
      <c r="F30" s="7">
        <v>3</v>
      </c>
      <c r="G30" s="4">
        <f t="shared" si="0"/>
        <v>2643</v>
      </c>
      <c r="H30" s="4" t="s">
        <v>80</v>
      </c>
      <c r="I30" s="4">
        <v>2</v>
      </c>
      <c r="J30" s="5">
        <v>84</v>
      </c>
      <c r="K30" s="4">
        <f t="shared" si="1"/>
        <v>168</v>
      </c>
      <c r="L30" s="4">
        <f t="shared" si="2"/>
        <v>2811</v>
      </c>
    </row>
    <row r="31" ht="18" customHeight="1" spans="1:12">
      <c r="A31" s="4" t="s">
        <v>87</v>
      </c>
      <c r="B31" s="8"/>
      <c r="C31" s="7">
        <f>SUM(C3:C30)</f>
        <v>19951</v>
      </c>
      <c r="D31" s="7">
        <f>SUM(D3:D30)</f>
        <v>20004</v>
      </c>
      <c r="E31" s="7">
        <f>SUM(E3:E30)</f>
        <v>20004</v>
      </c>
      <c r="F31" s="7">
        <v>3</v>
      </c>
      <c r="G31" s="4">
        <f t="shared" si="0"/>
        <v>60012</v>
      </c>
      <c r="H31" s="7"/>
      <c r="I31" s="7"/>
      <c r="J31" s="8"/>
      <c r="K31" s="4">
        <f>SUM(K3:K30)</f>
        <v>11829</v>
      </c>
      <c r="L31" s="4">
        <f t="shared" si="2"/>
        <v>71841</v>
      </c>
    </row>
  </sheetData>
  <mergeCells count="3">
    <mergeCell ref="A1:L1"/>
    <mergeCell ref="H2:J2"/>
    <mergeCell ref="H31:J31"/>
  </mergeCells>
  <pageMargins left="0.7" right="0.7" top="0.75" bottom="0.75" header="0.3" footer="0.3"/>
  <pageSetup paperSize="3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zoomScale="90" zoomScaleNormal="90" topLeftCell="A2" workbookViewId="0">
      <selection activeCell="I3" sqref="I3:I33"/>
    </sheetView>
  </sheetViews>
  <sheetFormatPr defaultColWidth="9" defaultRowHeight="13.5"/>
  <cols>
    <col min="1" max="1" width="8.125" customWidth="1"/>
    <col min="2" max="5" width="15.625" customWidth="1"/>
    <col min="6" max="6" width="17.2583333333333" customWidth="1"/>
    <col min="7" max="7" width="17.625" customWidth="1"/>
    <col min="8" max="8" width="9.5" customWidth="1"/>
    <col min="9" max="9" width="9.125" customWidth="1"/>
    <col min="10" max="10" width="6.875" customWidth="1"/>
    <col min="11" max="11" width="20.625" customWidth="1"/>
    <col min="12" max="12" width="19.875" customWidth="1"/>
  </cols>
  <sheetData>
    <row r="1" ht="39" customHeight="1" spans="1:12">
      <c r="A1" s="1" t="s">
        <v>117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9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118</v>
      </c>
      <c r="C3" s="4">
        <v>602</v>
      </c>
      <c r="D3" s="4">
        <v>602</v>
      </c>
      <c r="E3" s="4">
        <v>602</v>
      </c>
      <c r="F3" s="4">
        <v>3</v>
      </c>
      <c r="G3" s="4">
        <f t="shared" ref="G3:G34" si="0">E3*F3</f>
        <v>1806</v>
      </c>
      <c r="H3" s="4" t="s">
        <v>26</v>
      </c>
      <c r="I3" s="4">
        <v>1682</v>
      </c>
      <c r="J3" s="5">
        <v>3</v>
      </c>
      <c r="K3" s="4">
        <f>I3*J3</f>
        <v>5046</v>
      </c>
      <c r="L3" s="4">
        <f>G3+K3</f>
        <v>6852</v>
      </c>
    </row>
    <row r="4" ht="18" customHeight="1" spans="1:12">
      <c r="A4" s="4">
        <v>2</v>
      </c>
      <c r="B4" s="4" t="s">
        <v>119</v>
      </c>
      <c r="C4" s="4">
        <v>905</v>
      </c>
      <c r="D4" s="4">
        <v>919</v>
      </c>
      <c r="E4" s="4">
        <v>919</v>
      </c>
      <c r="F4" s="7">
        <v>3</v>
      </c>
      <c r="G4" s="4">
        <f t="shared" si="0"/>
        <v>2757</v>
      </c>
      <c r="H4" s="4" t="s">
        <v>28</v>
      </c>
      <c r="I4" s="4">
        <v>350</v>
      </c>
      <c r="J4" s="5">
        <v>6</v>
      </c>
      <c r="K4" s="4">
        <f t="shared" ref="K4:K33" si="1">I4*J4</f>
        <v>2100</v>
      </c>
      <c r="L4" s="4">
        <f t="shared" ref="L4:L34" si="2">G4+K4</f>
        <v>4857</v>
      </c>
    </row>
    <row r="5" ht="18" customHeight="1" spans="1:12">
      <c r="A5" s="4">
        <v>3</v>
      </c>
      <c r="B5" s="4" t="s">
        <v>120</v>
      </c>
      <c r="C5" s="4">
        <v>898</v>
      </c>
      <c r="D5" s="4">
        <v>910</v>
      </c>
      <c r="E5" s="4">
        <v>910</v>
      </c>
      <c r="F5" s="7">
        <v>3</v>
      </c>
      <c r="G5" s="4">
        <f t="shared" si="0"/>
        <v>2730</v>
      </c>
      <c r="H5" s="4" t="s">
        <v>30</v>
      </c>
      <c r="I5" s="4">
        <v>177</v>
      </c>
      <c r="J5" s="5">
        <v>9</v>
      </c>
      <c r="K5" s="4">
        <f t="shared" si="1"/>
        <v>1593</v>
      </c>
      <c r="L5" s="4">
        <f t="shared" si="2"/>
        <v>4323</v>
      </c>
    </row>
    <row r="6" ht="18" customHeight="1" spans="1:12">
      <c r="A6" s="4">
        <v>4</v>
      </c>
      <c r="B6" s="4" t="s">
        <v>121</v>
      </c>
      <c r="C6" s="4">
        <v>931</v>
      </c>
      <c r="D6" s="4">
        <v>915</v>
      </c>
      <c r="E6" s="4">
        <v>915</v>
      </c>
      <c r="F6" s="7">
        <v>3</v>
      </c>
      <c r="G6" s="4">
        <f t="shared" si="0"/>
        <v>2745</v>
      </c>
      <c r="H6" s="4" t="s">
        <v>32</v>
      </c>
      <c r="I6" s="4">
        <v>84</v>
      </c>
      <c r="J6" s="5">
        <v>12</v>
      </c>
      <c r="K6" s="4">
        <f t="shared" si="1"/>
        <v>1008</v>
      </c>
      <c r="L6" s="4">
        <f t="shared" si="2"/>
        <v>3753</v>
      </c>
    </row>
    <row r="7" ht="18" customHeight="1" spans="1:12">
      <c r="A7" s="4">
        <v>5</v>
      </c>
      <c r="B7" s="4" t="s">
        <v>122</v>
      </c>
      <c r="C7" s="4">
        <v>894</v>
      </c>
      <c r="D7" s="4">
        <v>901</v>
      </c>
      <c r="E7" s="4">
        <v>901</v>
      </c>
      <c r="F7" s="7">
        <v>3</v>
      </c>
      <c r="G7" s="4">
        <f t="shared" si="0"/>
        <v>2703</v>
      </c>
      <c r="H7" s="4" t="s">
        <v>34</v>
      </c>
      <c r="I7" s="4">
        <v>52</v>
      </c>
      <c r="J7" s="5">
        <v>15</v>
      </c>
      <c r="K7" s="4">
        <f t="shared" si="1"/>
        <v>780</v>
      </c>
      <c r="L7" s="4">
        <f t="shared" si="2"/>
        <v>3483</v>
      </c>
    </row>
    <row r="8" ht="18" customHeight="1" spans="1:12">
      <c r="A8" s="4">
        <v>6</v>
      </c>
      <c r="B8" s="4" t="s">
        <v>123</v>
      </c>
      <c r="C8" s="7">
        <v>904</v>
      </c>
      <c r="D8" s="7">
        <v>937</v>
      </c>
      <c r="E8" s="7">
        <v>937</v>
      </c>
      <c r="F8" s="7">
        <v>3</v>
      </c>
      <c r="G8" s="4">
        <f t="shared" si="0"/>
        <v>2811</v>
      </c>
      <c r="H8" s="4" t="s">
        <v>36</v>
      </c>
      <c r="I8" s="4">
        <v>41</v>
      </c>
      <c r="J8" s="5">
        <v>18</v>
      </c>
      <c r="K8" s="4">
        <f t="shared" si="1"/>
        <v>738</v>
      </c>
      <c r="L8" s="4">
        <f t="shared" si="2"/>
        <v>3549</v>
      </c>
    </row>
    <row r="9" ht="18" customHeight="1" spans="1:12">
      <c r="A9" s="4">
        <v>7</v>
      </c>
      <c r="B9" s="4" t="s">
        <v>124</v>
      </c>
      <c r="C9" s="7">
        <v>554</v>
      </c>
      <c r="D9" s="7">
        <v>556</v>
      </c>
      <c r="E9" s="7">
        <v>556</v>
      </c>
      <c r="F9" s="7">
        <v>3</v>
      </c>
      <c r="G9" s="4">
        <f t="shared" si="0"/>
        <v>1668</v>
      </c>
      <c r="H9" s="4" t="s">
        <v>38</v>
      </c>
      <c r="I9" s="4">
        <v>18</v>
      </c>
      <c r="J9" s="5">
        <v>21</v>
      </c>
      <c r="K9" s="4">
        <f t="shared" si="1"/>
        <v>378</v>
      </c>
      <c r="L9" s="4">
        <f t="shared" si="2"/>
        <v>2046</v>
      </c>
    </row>
    <row r="10" ht="18" customHeight="1" spans="1:12">
      <c r="A10" s="4">
        <v>8</v>
      </c>
      <c r="B10" s="4" t="s">
        <v>125</v>
      </c>
      <c r="C10" s="7">
        <v>558</v>
      </c>
      <c r="D10" s="7">
        <v>562</v>
      </c>
      <c r="E10" s="7">
        <v>562</v>
      </c>
      <c r="F10" s="7">
        <v>3</v>
      </c>
      <c r="G10" s="4">
        <f t="shared" si="0"/>
        <v>1686</v>
      </c>
      <c r="H10" s="4" t="s">
        <v>40</v>
      </c>
      <c r="I10" s="4">
        <v>17</v>
      </c>
      <c r="J10" s="5">
        <v>24</v>
      </c>
      <c r="K10" s="4">
        <f t="shared" si="1"/>
        <v>408</v>
      </c>
      <c r="L10" s="4">
        <f t="shared" si="2"/>
        <v>2094</v>
      </c>
    </row>
    <row r="11" ht="18" customHeight="1" spans="1:12">
      <c r="A11" s="4">
        <v>9</v>
      </c>
      <c r="B11" s="4" t="s">
        <v>126</v>
      </c>
      <c r="C11" s="7">
        <v>957</v>
      </c>
      <c r="D11" s="7">
        <v>919</v>
      </c>
      <c r="E11" s="7">
        <v>919</v>
      </c>
      <c r="F11" s="7">
        <v>3</v>
      </c>
      <c r="G11" s="4">
        <f t="shared" si="0"/>
        <v>2757</v>
      </c>
      <c r="H11" s="4" t="s">
        <v>42</v>
      </c>
      <c r="I11" s="4">
        <v>14</v>
      </c>
      <c r="J11" s="5">
        <v>27</v>
      </c>
      <c r="K11" s="4">
        <f t="shared" si="1"/>
        <v>378</v>
      </c>
      <c r="L11" s="4">
        <f t="shared" si="2"/>
        <v>3135</v>
      </c>
    </row>
    <row r="12" ht="18" customHeight="1" spans="1:12">
      <c r="A12" s="4">
        <v>10</v>
      </c>
      <c r="B12" s="4" t="s">
        <v>127</v>
      </c>
      <c r="C12" s="7">
        <v>916</v>
      </c>
      <c r="D12" s="7">
        <v>908</v>
      </c>
      <c r="E12" s="7">
        <v>908</v>
      </c>
      <c r="F12" s="7">
        <v>3</v>
      </c>
      <c r="G12" s="4">
        <f t="shared" si="0"/>
        <v>2724</v>
      </c>
      <c r="H12" s="4" t="s">
        <v>44</v>
      </c>
      <c r="I12" s="4">
        <v>14</v>
      </c>
      <c r="J12" s="5">
        <v>30</v>
      </c>
      <c r="K12" s="4">
        <f t="shared" si="1"/>
        <v>420</v>
      </c>
      <c r="L12" s="4">
        <f t="shared" si="2"/>
        <v>3144</v>
      </c>
    </row>
    <row r="13" ht="18" customHeight="1" spans="1:12">
      <c r="A13" s="4">
        <v>11</v>
      </c>
      <c r="B13" s="4" t="s">
        <v>128</v>
      </c>
      <c r="C13" s="7">
        <v>902</v>
      </c>
      <c r="D13" s="7">
        <v>902</v>
      </c>
      <c r="E13" s="7">
        <v>902</v>
      </c>
      <c r="F13" s="7">
        <v>3</v>
      </c>
      <c r="G13" s="4">
        <f t="shared" si="0"/>
        <v>2706</v>
      </c>
      <c r="H13" s="4" t="s">
        <v>46</v>
      </c>
      <c r="I13" s="4">
        <v>6</v>
      </c>
      <c r="J13" s="5">
        <v>33</v>
      </c>
      <c r="K13" s="4">
        <f t="shared" si="1"/>
        <v>198</v>
      </c>
      <c r="L13" s="4">
        <f t="shared" si="2"/>
        <v>2904</v>
      </c>
    </row>
    <row r="14" ht="18" customHeight="1" spans="1:12">
      <c r="A14" s="4">
        <v>12</v>
      </c>
      <c r="B14" s="4" t="s">
        <v>129</v>
      </c>
      <c r="C14" s="7">
        <v>876</v>
      </c>
      <c r="D14" s="7">
        <v>890</v>
      </c>
      <c r="E14" s="7">
        <v>890</v>
      </c>
      <c r="F14" s="7">
        <v>3</v>
      </c>
      <c r="G14" s="4">
        <f t="shared" si="0"/>
        <v>2670</v>
      </c>
      <c r="H14" s="4" t="s">
        <v>48</v>
      </c>
      <c r="I14" s="4">
        <v>5</v>
      </c>
      <c r="J14" s="5">
        <v>36</v>
      </c>
      <c r="K14" s="4">
        <f t="shared" si="1"/>
        <v>180</v>
      </c>
      <c r="L14" s="4">
        <f t="shared" si="2"/>
        <v>2850</v>
      </c>
    </row>
    <row r="15" ht="18" customHeight="1" spans="1:12">
      <c r="A15" s="4">
        <v>13</v>
      </c>
      <c r="B15" s="4" t="s">
        <v>130</v>
      </c>
      <c r="C15" s="7">
        <v>900</v>
      </c>
      <c r="D15" s="7">
        <v>919</v>
      </c>
      <c r="E15" s="7">
        <v>919</v>
      </c>
      <c r="F15" s="7">
        <v>3</v>
      </c>
      <c r="G15" s="4">
        <f t="shared" si="0"/>
        <v>2757</v>
      </c>
      <c r="H15" s="4" t="s">
        <v>50</v>
      </c>
      <c r="I15" s="4">
        <v>9</v>
      </c>
      <c r="J15" s="5">
        <v>39</v>
      </c>
      <c r="K15" s="4">
        <f t="shared" si="1"/>
        <v>351</v>
      </c>
      <c r="L15" s="4">
        <f t="shared" si="2"/>
        <v>3108</v>
      </c>
    </row>
    <row r="16" ht="18" customHeight="1" spans="1:12">
      <c r="A16" s="4">
        <v>14</v>
      </c>
      <c r="B16" s="4" t="s">
        <v>131</v>
      </c>
      <c r="C16" s="7">
        <v>562</v>
      </c>
      <c r="D16" s="7">
        <v>564</v>
      </c>
      <c r="E16" s="7">
        <v>564</v>
      </c>
      <c r="F16" s="7">
        <v>3</v>
      </c>
      <c r="G16" s="4">
        <f t="shared" si="0"/>
        <v>1692</v>
      </c>
      <c r="H16" s="4" t="s">
        <v>52</v>
      </c>
      <c r="I16" s="4">
        <v>4</v>
      </c>
      <c r="J16" s="5">
        <v>42</v>
      </c>
      <c r="K16" s="4">
        <f t="shared" si="1"/>
        <v>168</v>
      </c>
      <c r="L16" s="4">
        <f t="shared" si="2"/>
        <v>1860</v>
      </c>
    </row>
    <row r="17" ht="18" customHeight="1" spans="1:12">
      <c r="A17" s="4">
        <v>15</v>
      </c>
      <c r="B17" s="4" t="s">
        <v>132</v>
      </c>
      <c r="C17" s="7">
        <v>547</v>
      </c>
      <c r="D17" s="7">
        <v>546</v>
      </c>
      <c r="E17" s="7">
        <v>546</v>
      </c>
      <c r="F17" s="7">
        <v>3</v>
      </c>
      <c r="G17" s="4">
        <f t="shared" si="0"/>
        <v>1638</v>
      </c>
      <c r="H17" s="4" t="s">
        <v>54</v>
      </c>
      <c r="I17" s="4">
        <v>4</v>
      </c>
      <c r="J17" s="5">
        <v>45</v>
      </c>
      <c r="K17" s="4">
        <f t="shared" si="1"/>
        <v>180</v>
      </c>
      <c r="L17" s="4">
        <f t="shared" si="2"/>
        <v>1818</v>
      </c>
    </row>
    <row r="18" ht="18" customHeight="1" spans="1:12">
      <c r="A18" s="4">
        <v>16</v>
      </c>
      <c r="B18" s="4" t="s">
        <v>133</v>
      </c>
      <c r="C18" s="7">
        <v>914</v>
      </c>
      <c r="D18" s="7">
        <v>905</v>
      </c>
      <c r="E18" s="7">
        <v>905</v>
      </c>
      <c r="F18" s="7">
        <v>3</v>
      </c>
      <c r="G18" s="4">
        <f t="shared" si="0"/>
        <v>2715</v>
      </c>
      <c r="H18" s="4" t="s">
        <v>56</v>
      </c>
      <c r="I18" s="4">
        <v>0</v>
      </c>
      <c r="J18" s="5">
        <v>48</v>
      </c>
      <c r="K18" s="4">
        <f t="shared" si="1"/>
        <v>0</v>
      </c>
      <c r="L18" s="4">
        <f t="shared" si="2"/>
        <v>2715</v>
      </c>
    </row>
    <row r="19" ht="18" customHeight="1" spans="1:12">
      <c r="A19" s="4">
        <v>17</v>
      </c>
      <c r="B19" s="4" t="s">
        <v>134</v>
      </c>
      <c r="C19" s="7">
        <v>947</v>
      </c>
      <c r="D19" s="7">
        <v>938</v>
      </c>
      <c r="E19" s="7">
        <v>938</v>
      </c>
      <c r="F19" s="7">
        <v>3</v>
      </c>
      <c r="G19" s="4">
        <f t="shared" si="0"/>
        <v>2814</v>
      </c>
      <c r="H19" s="4" t="s">
        <v>58</v>
      </c>
      <c r="I19" s="4">
        <v>2</v>
      </c>
      <c r="J19" s="5">
        <v>51</v>
      </c>
      <c r="K19" s="4">
        <f t="shared" si="1"/>
        <v>102</v>
      </c>
      <c r="L19" s="4">
        <f t="shared" si="2"/>
        <v>2916</v>
      </c>
    </row>
    <row r="20" ht="18" customHeight="1" spans="1:12">
      <c r="A20" s="4">
        <v>18</v>
      </c>
      <c r="B20" s="4" t="s">
        <v>135</v>
      </c>
      <c r="C20" s="7">
        <v>921</v>
      </c>
      <c r="D20" s="7">
        <v>885</v>
      </c>
      <c r="E20" s="7">
        <v>885</v>
      </c>
      <c r="F20" s="7">
        <v>3</v>
      </c>
      <c r="G20" s="4">
        <f t="shared" si="0"/>
        <v>2655</v>
      </c>
      <c r="H20" s="4" t="s">
        <v>60</v>
      </c>
      <c r="I20" s="4">
        <v>0</v>
      </c>
      <c r="J20" s="5">
        <v>54</v>
      </c>
      <c r="K20" s="4">
        <f t="shared" si="1"/>
        <v>0</v>
      </c>
      <c r="L20" s="4">
        <f t="shared" si="2"/>
        <v>2655</v>
      </c>
    </row>
    <row r="21" ht="18" customHeight="1" spans="1:12">
      <c r="A21" s="4">
        <v>19</v>
      </c>
      <c r="B21" s="4" t="s">
        <v>136</v>
      </c>
      <c r="C21" s="7">
        <v>887</v>
      </c>
      <c r="D21" s="7">
        <v>893</v>
      </c>
      <c r="E21" s="7">
        <v>893</v>
      </c>
      <c r="F21" s="7">
        <v>3</v>
      </c>
      <c r="G21" s="4">
        <f t="shared" si="0"/>
        <v>2679</v>
      </c>
      <c r="H21" s="4" t="s">
        <v>62</v>
      </c>
      <c r="I21" s="4">
        <v>1</v>
      </c>
      <c r="J21" s="5">
        <v>57</v>
      </c>
      <c r="K21" s="4">
        <f t="shared" si="1"/>
        <v>57</v>
      </c>
      <c r="L21" s="4">
        <f t="shared" si="2"/>
        <v>2736</v>
      </c>
    </row>
    <row r="22" ht="18" customHeight="1" spans="1:12">
      <c r="A22" s="4">
        <v>20</v>
      </c>
      <c r="B22" s="4" t="s">
        <v>137</v>
      </c>
      <c r="C22" s="7">
        <v>840</v>
      </c>
      <c r="D22" s="7">
        <v>888</v>
      </c>
      <c r="E22" s="7">
        <v>888</v>
      </c>
      <c r="F22" s="7">
        <v>3</v>
      </c>
      <c r="G22" s="4">
        <f t="shared" si="0"/>
        <v>2664</v>
      </c>
      <c r="H22" s="4" t="s">
        <v>64</v>
      </c>
      <c r="I22" s="4">
        <v>1</v>
      </c>
      <c r="J22" s="5">
        <v>60</v>
      </c>
      <c r="K22" s="4">
        <f t="shared" si="1"/>
        <v>60</v>
      </c>
      <c r="L22" s="4">
        <f t="shared" si="2"/>
        <v>2724</v>
      </c>
    </row>
    <row r="23" ht="18" customHeight="1" spans="1:12">
      <c r="A23" s="4">
        <v>21</v>
      </c>
      <c r="B23" s="4" t="s">
        <v>138</v>
      </c>
      <c r="C23" s="7">
        <v>517</v>
      </c>
      <c r="D23" s="7">
        <v>533</v>
      </c>
      <c r="E23" s="7">
        <v>533</v>
      </c>
      <c r="F23" s="7">
        <v>3</v>
      </c>
      <c r="G23" s="4">
        <f t="shared" si="0"/>
        <v>1599</v>
      </c>
      <c r="H23" s="4" t="s">
        <v>66</v>
      </c>
      <c r="I23" s="4">
        <v>0</v>
      </c>
      <c r="J23" s="5">
        <v>63</v>
      </c>
      <c r="K23" s="4">
        <f t="shared" si="1"/>
        <v>0</v>
      </c>
      <c r="L23" s="4">
        <f t="shared" si="2"/>
        <v>1599</v>
      </c>
    </row>
    <row r="24" ht="18" customHeight="1" spans="1:12">
      <c r="A24" s="4">
        <v>22</v>
      </c>
      <c r="B24" s="4" t="s">
        <v>139</v>
      </c>
      <c r="C24" s="7">
        <v>525</v>
      </c>
      <c r="D24" s="7">
        <v>520</v>
      </c>
      <c r="E24" s="7">
        <v>520</v>
      </c>
      <c r="F24" s="7">
        <v>3</v>
      </c>
      <c r="G24" s="4">
        <f t="shared" si="0"/>
        <v>1560</v>
      </c>
      <c r="H24" s="4" t="s">
        <v>68</v>
      </c>
      <c r="I24" s="4">
        <v>1</v>
      </c>
      <c r="J24" s="5">
        <v>66</v>
      </c>
      <c r="K24" s="4">
        <f t="shared" si="1"/>
        <v>66</v>
      </c>
      <c r="L24" s="4">
        <f t="shared" si="2"/>
        <v>1626</v>
      </c>
    </row>
    <row r="25" ht="18" customHeight="1" spans="1:12">
      <c r="A25" s="4">
        <v>23</v>
      </c>
      <c r="B25" s="4" t="s">
        <v>140</v>
      </c>
      <c r="C25" s="7">
        <v>927</v>
      </c>
      <c r="D25" s="7">
        <v>893</v>
      </c>
      <c r="E25" s="7">
        <v>893</v>
      </c>
      <c r="F25" s="7">
        <v>3</v>
      </c>
      <c r="G25" s="4">
        <f t="shared" si="0"/>
        <v>2679</v>
      </c>
      <c r="H25" s="4" t="s">
        <v>70</v>
      </c>
      <c r="I25" s="4">
        <v>0</v>
      </c>
      <c r="J25" s="5">
        <v>69</v>
      </c>
      <c r="K25" s="4">
        <f t="shared" si="1"/>
        <v>0</v>
      </c>
      <c r="L25" s="4">
        <f t="shared" si="2"/>
        <v>2679</v>
      </c>
    </row>
    <row r="26" ht="18" customHeight="1" spans="1:12">
      <c r="A26" s="4">
        <v>24</v>
      </c>
      <c r="B26" s="4" t="s">
        <v>141</v>
      </c>
      <c r="C26" s="7">
        <v>880</v>
      </c>
      <c r="D26" s="7">
        <v>880</v>
      </c>
      <c r="E26" s="7">
        <v>880</v>
      </c>
      <c r="F26" s="7">
        <v>3</v>
      </c>
      <c r="G26" s="4">
        <f t="shared" si="0"/>
        <v>2640</v>
      </c>
      <c r="H26" s="4" t="s">
        <v>72</v>
      </c>
      <c r="I26" s="4">
        <v>1</v>
      </c>
      <c r="J26" s="5">
        <v>72</v>
      </c>
      <c r="K26" s="4">
        <f t="shared" si="1"/>
        <v>72</v>
      </c>
      <c r="L26" s="4">
        <f t="shared" si="2"/>
        <v>2712</v>
      </c>
    </row>
    <row r="27" ht="18" customHeight="1" spans="1:12">
      <c r="A27" s="4">
        <v>25</v>
      </c>
      <c r="B27" s="4" t="s">
        <v>142</v>
      </c>
      <c r="C27" s="7">
        <v>858</v>
      </c>
      <c r="D27" s="7">
        <v>850</v>
      </c>
      <c r="E27" s="7">
        <v>850</v>
      </c>
      <c r="F27" s="7">
        <v>3</v>
      </c>
      <c r="G27" s="4">
        <f t="shared" si="0"/>
        <v>2550</v>
      </c>
      <c r="H27" s="4" t="s">
        <v>74</v>
      </c>
      <c r="I27" s="4">
        <v>0</v>
      </c>
      <c r="J27" s="5">
        <v>75</v>
      </c>
      <c r="K27" s="4">
        <f t="shared" si="1"/>
        <v>0</v>
      </c>
      <c r="L27" s="4">
        <f t="shared" si="2"/>
        <v>2550</v>
      </c>
    </row>
    <row r="28" ht="18" customHeight="1" spans="1:12">
      <c r="A28" s="4">
        <v>26</v>
      </c>
      <c r="B28" s="4" t="s">
        <v>143</v>
      </c>
      <c r="C28" s="7">
        <v>858</v>
      </c>
      <c r="D28" s="7">
        <v>872</v>
      </c>
      <c r="E28" s="7">
        <v>872</v>
      </c>
      <c r="F28" s="7">
        <v>3</v>
      </c>
      <c r="G28" s="4">
        <f t="shared" si="0"/>
        <v>2616</v>
      </c>
      <c r="H28" s="4" t="s">
        <v>76</v>
      </c>
      <c r="I28" s="4">
        <v>2</v>
      </c>
      <c r="J28" s="5">
        <v>78</v>
      </c>
      <c r="K28" s="4">
        <f t="shared" si="1"/>
        <v>156</v>
      </c>
      <c r="L28" s="4">
        <f t="shared" si="2"/>
        <v>2772</v>
      </c>
    </row>
    <row r="29" ht="18" customHeight="1" spans="1:12">
      <c r="A29" s="4">
        <v>27</v>
      </c>
      <c r="B29" s="4" t="s">
        <v>144</v>
      </c>
      <c r="C29" s="7">
        <v>845</v>
      </c>
      <c r="D29" s="7">
        <v>839</v>
      </c>
      <c r="E29" s="7">
        <v>839</v>
      </c>
      <c r="F29" s="7">
        <v>3</v>
      </c>
      <c r="G29" s="4">
        <f t="shared" si="0"/>
        <v>2517</v>
      </c>
      <c r="H29" s="4" t="s">
        <v>78</v>
      </c>
      <c r="I29" s="4">
        <v>1</v>
      </c>
      <c r="J29" s="5">
        <v>81</v>
      </c>
      <c r="K29" s="4">
        <f t="shared" si="1"/>
        <v>81</v>
      </c>
      <c r="L29" s="4">
        <f t="shared" si="2"/>
        <v>2598</v>
      </c>
    </row>
    <row r="30" ht="18" customHeight="1" spans="1:12">
      <c r="A30" s="4">
        <v>28</v>
      </c>
      <c r="B30" s="4" t="s">
        <v>145</v>
      </c>
      <c r="C30" s="7">
        <v>503</v>
      </c>
      <c r="D30" s="7">
        <v>527</v>
      </c>
      <c r="E30" s="7">
        <v>527</v>
      </c>
      <c r="F30" s="7">
        <v>3</v>
      </c>
      <c r="G30" s="4">
        <f t="shared" si="0"/>
        <v>1581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1581</v>
      </c>
    </row>
    <row r="31" ht="18" customHeight="1" spans="1:12">
      <c r="A31" s="4">
        <v>29</v>
      </c>
      <c r="B31" s="4" t="s">
        <v>146</v>
      </c>
      <c r="C31" s="7">
        <v>518</v>
      </c>
      <c r="D31" s="7">
        <v>505</v>
      </c>
      <c r="E31" s="7">
        <v>505</v>
      </c>
      <c r="F31" s="7">
        <v>3</v>
      </c>
      <c r="G31" s="4">
        <f t="shared" si="0"/>
        <v>1515</v>
      </c>
      <c r="H31" s="4" t="s">
        <v>82</v>
      </c>
      <c r="I31" s="4">
        <v>0</v>
      </c>
      <c r="J31" s="5">
        <v>87</v>
      </c>
      <c r="K31" s="4">
        <f t="shared" si="1"/>
        <v>0</v>
      </c>
      <c r="L31" s="4">
        <f t="shared" si="2"/>
        <v>1515</v>
      </c>
    </row>
    <row r="32" ht="18" customHeight="1" spans="1:12">
      <c r="A32" s="4">
        <v>30</v>
      </c>
      <c r="B32" s="4" t="s">
        <v>147</v>
      </c>
      <c r="C32" s="7">
        <v>925</v>
      </c>
      <c r="D32" s="7">
        <v>898</v>
      </c>
      <c r="E32" s="7">
        <v>898</v>
      </c>
      <c r="F32" s="7">
        <v>3</v>
      </c>
      <c r="G32" s="4">
        <f t="shared" si="0"/>
        <v>2694</v>
      </c>
      <c r="H32" s="4" t="s">
        <v>84</v>
      </c>
      <c r="I32" s="4">
        <v>0</v>
      </c>
      <c r="J32" s="5">
        <v>90</v>
      </c>
      <c r="K32" s="4">
        <f t="shared" si="1"/>
        <v>0</v>
      </c>
      <c r="L32" s="4">
        <f t="shared" si="2"/>
        <v>2694</v>
      </c>
    </row>
    <row r="33" ht="18" customHeight="1" spans="1:12">
      <c r="A33" s="7">
        <v>31</v>
      </c>
      <c r="B33" s="4" t="s">
        <v>148</v>
      </c>
      <c r="C33" s="7">
        <v>861</v>
      </c>
      <c r="D33" s="7">
        <v>891</v>
      </c>
      <c r="E33" s="7">
        <v>891</v>
      </c>
      <c r="F33" s="7">
        <v>3</v>
      </c>
      <c r="G33" s="4">
        <f t="shared" si="0"/>
        <v>2673</v>
      </c>
      <c r="H33" s="4" t="s">
        <v>86</v>
      </c>
      <c r="I33" s="4">
        <v>0</v>
      </c>
      <c r="J33" s="4">
        <v>93</v>
      </c>
      <c r="K33" s="4">
        <f t="shared" si="1"/>
        <v>0</v>
      </c>
      <c r="L33" s="4">
        <f t="shared" si="2"/>
        <v>2673</v>
      </c>
    </row>
    <row r="34" ht="18" customHeight="1" spans="1:12">
      <c r="A34" s="4" t="s">
        <v>87</v>
      </c>
      <c r="B34" s="8"/>
      <c r="C34" s="7">
        <f>SUM(C3:C33)</f>
        <v>24632</v>
      </c>
      <c r="D34" s="7">
        <f>SUM(D3:D33)</f>
        <v>24667</v>
      </c>
      <c r="E34" s="7">
        <f>SUM(E3:E33)</f>
        <v>24667</v>
      </c>
      <c r="F34" s="7">
        <v>3</v>
      </c>
      <c r="G34" s="4">
        <f t="shared" si="0"/>
        <v>74001</v>
      </c>
      <c r="H34" s="7"/>
      <c r="I34" s="7"/>
      <c r="J34" s="8"/>
      <c r="K34" s="4">
        <f>SUM(K3:K33)</f>
        <v>14520</v>
      </c>
      <c r="L34" s="4">
        <f t="shared" si="2"/>
        <v>88521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2" workbookViewId="0">
      <selection activeCell="I3" sqref="I3:I32"/>
    </sheetView>
  </sheetViews>
  <sheetFormatPr defaultColWidth="9" defaultRowHeight="13.5"/>
  <cols>
    <col min="1" max="1" width="10.125" customWidth="1"/>
    <col min="2" max="5" width="15.625" customWidth="1"/>
    <col min="6" max="6" width="16.875" customWidth="1"/>
    <col min="7" max="7" width="16.7583333333333" customWidth="1"/>
    <col min="8" max="8" width="8.75833333333333" customWidth="1"/>
    <col min="9" max="9" width="8.5" customWidth="1"/>
    <col min="10" max="10" width="8.25833333333333" customWidth="1"/>
    <col min="11" max="11" width="25.625" customWidth="1"/>
    <col min="12" max="12" width="21.2583333333333" customWidth="1"/>
  </cols>
  <sheetData>
    <row r="1" ht="21" customHeight="1" spans="1:12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150</v>
      </c>
      <c r="C3" s="4">
        <v>896</v>
      </c>
      <c r="D3" s="4">
        <v>869</v>
      </c>
      <c r="E3" s="4">
        <v>869</v>
      </c>
      <c r="F3" s="4">
        <v>3</v>
      </c>
      <c r="G3" s="4">
        <f t="shared" ref="G3:G34" si="0">E3*F3</f>
        <v>2607</v>
      </c>
      <c r="H3" s="4" t="s">
        <v>26</v>
      </c>
      <c r="I3" s="4">
        <v>1600</v>
      </c>
      <c r="J3" s="5">
        <v>3</v>
      </c>
      <c r="K3" s="4">
        <f>I3*J3</f>
        <v>4800</v>
      </c>
      <c r="L3" s="4">
        <f>G3+K3</f>
        <v>7407</v>
      </c>
    </row>
    <row r="4" ht="18" customHeight="1" spans="1:12">
      <c r="A4" s="4">
        <v>2</v>
      </c>
      <c r="B4" s="4" t="s">
        <v>151</v>
      </c>
      <c r="C4" s="4">
        <v>853</v>
      </c>
      <c r="D4" s="4">
        <v>857</v>
      </c>
      <c r="E4" s="4">
        <v>857</v>
      </c>
      <c r="F4" s="7">
        <v>3</v>
      </c>
      <c r="G4" s="4">
        <f t="shared" si="0"/>
        <v>2571</v>
      </c>
      <c r="H4" s="4" t="s">
        <v>28</v>
      </c>
      <c r="I4" s="4">
        <v>337</v>
      </c>
      <c r="J4" s="5">
        <v>6</v>
      </c>
      <c r="K4" s="4">
        <f t="shared" ref="K4:K32" si="1">I4*J4</f>
        <v>2022</v>
      </c>
      <c r="L4" s="4">
        <f t="shared" ref="L4:L33" si="2">G4+K4</f>
        <v>4593</v>
      </c>
    </row>
    <row r="5" ht="18" customHeight="1" spans="1:12">
      <c r="A5" s="4">
        <v>3</v>
      </c>
      <c r="B5" s="4" t="s">
        <v>152</v>
      </c>
      <c r="C5" s="4">
        <v>855</v>
      </c>
      <c r="D5" s="4">
        <v>885</v>
      </c>
      <c r="E5" s="4">
        <v>885</v>
      </c>
      <c r="F5" s="7">
        <v>3</v>
      </c>
      <c r="G5" s="4">
        <f t="shared" si="0"/>
        <v>2655</v>
      </c>
      <c r="H5" s="4" t="s">
        <v>30</v>
      </c>
      <c r="I5" s="4">
        <v>164</v>
      </c>
      <c r="J5" s="5">
        <v>9</v>
      </c>
      <c r="K5" s="4">
        <f t="shared" si="1"/>
        <v>1476</v>
      </c>
      <c r="L5" s="4">
        <f t="shared" si="2"/>
        <v>4131</v>
      </c>
    </row>
    <row r="6" ht="18" customHeight="1" spans="1:12">
      <c r="A6" s="4">
        <v>4</v>
      </c>
      <c r="B6" s="4" t="s">
        <v>153</v>
      </c>
      <c r="C6" s="4">
        <v>417</v>
      </c>
      <c r="D6" s="4">
        <v>464</v>
      </c>
      <c r="E6" s="4">
        <v>464</v>
      </c>
      <c r="F6" s="7">
        <v>3</v>
      </c>
      <c r="G6" s="4">
        <f t="shared" si="0"/>
        <v>1392</v>
      </c>
      <c r="H6" s="4" t="s">
        <v>32</v>
      </c>
      <c r="I6" s="4">
        <v>101</v>
      </c>
      <c r="J6" s="5">
        <v>12</v>
      </c>
      <c r="K6" s="4">
        <f t="shared" si="1"/>
        <v>1212</v>
      </c>
      <c r="L6" s="4">
        <f t="shared" si="2"/>
        <v>2604</v>
      </c>
    </row>
    <row r="7" ht="18" customHeight="1" spans="1:12">
      <c r="A7" s="4">
        <v>5</v>
      </c>
      <c r="B7" s="4" t="s">
        <v>154</v>
      </c>
      <c r="C7" s="4">
        <v>387</v>
      </c>
      <c r="D7" s="4">
        <v>390</v>
      </c>
      <c r="E7" s="4">
        <v>390</v>
      </c>
      <c r="F7" s="7">
        <v>3</v>
      </c>
      <c r="G7" s="4">
        <f t="shared" si="0"/>
        <v>1170</v>
      </c>
      <c r="H7" s="4" t="s">
        <v>34</v>
      </c>
      <c r="I7" s="4">
        <v>60</v>
      </c>
      <c r="J7" s="5">
        <v>15</v>
      </c>
      <c r="K7" s="4">
        <f t="shared" si="1"/>
        <v>900</v>
      </c>
      <c r="L7" s="4">
        <f t="shared" si="2"/>
        <v>2070</v>
      </c>
    </row>
    <row r="8" ht="18" customHeight="1" spans="1:12">
      <c r="A8" s="4">
        <v>6</v>
      </c>
      <c r="B8" s="4" t="s">
        <v>155</v>
      </c>
      <c r="C8" s="7">
        <v>465</v>
      </c>
      <c r="D8" s="7">
        <v>462</v>
      </c>
      <c r="E8" s="7">
        <v>462</v>
      </c>
      <c r="F8" s="7">
        <v>3</v>
      </c>
      <c r="G8" s="4">
        <f t="shared" si="0"/>
        <v>1386</v>
      </c>
      <c r="H8" s="4" t="s">
        <v>36</v>
      </c>
      <c r="I8" s="4">
        <v>35</v>
      </c>
      <c r="J8" s="5">
        <v>18</v>
      </c>
      <c r="K8" s="4">
        <f t="shared" si="1"/>
        <v>630</v>
      </c>
      <c r="L8" s="4">
        <f t="shared" si="2"/>
        <v>2016</v>
      </c>
    </row>
    <row r="9" ht="18" customHeight="1" spans="1:12">
      <c r="A9" s="4">
        <v>7</v>
      </c>
      <c r="B9" s="4" t="s">
        <v>156</v>
      </c>
      <c r="C9" s="7">
        <v>903</v>
      </c>
      <c r="D9" s="7">
        <v>848</v>
      </c>
      <c r="E9" s="7">
        <v>848</v>
      </c>
      <c r="F9" s="7">
        <v>3</v>
      </c>
      <c r="G9" s="4">
        <f t="shared" si="0"/>
        <v>2544</v>
      </c>
      <c r="H9" s="4" t="s">
        <v>38</v>
      </c>
      <c r="I9" s="4">
        <v>18</v>
      </c>
      <c r="J9" s="5">
        <v>21</v>
      </c>
      <c r="K9" s="4">
        <f t="shared" si="1"/>
        <v>378</v>
      </c>
      <c r="L9" s="4">
        <f t="shared" si="2"/>
        <v>2922</v>
      </c>
    </row>
    <row r="10" ht="18" customHeight="1" spans="1:12">
      <c r="A10" s="4">
        <v>8</v>
      </c>
      <c r="B10" s="4" t="s">
        <v>157</v>
      </c>
      <c r="C10" s="7">
        <v>924</v>
      </c>
      <c r="D10" s="7">
        <v>901</v>
      </c>
      <c r="E10" s="7">
        <v>901</v>
      </c>
      <c r="F10" s="7">
        <v>3</v>
      </c>
      <c r="G10" s="4">
        <f t="shared" si="0"/>
        <v>2703</v>
      </c>
      <c r="H10" s="4" t="s">
        <v>40</v>
      </c>
      <c r="I10" s="4">
        <v>14</v>
      </c>
      <c r="J10" s="5">
        <v>24</v>
      </c>
      <c r="K10" s="4">
        <f t="shared" si="1"/>
        <v>336</v>
      </c>
      <c r="L10" s="4">
        <f t="shared" si="2"/>
        <v>3039</v>
      </c>
    </row>
    <row r="11" ht="18" customHeight="1" spans="1:12">
      <c r="A11" s="4">
        <v>9</v>
      </c>
      <c r="B11" s="4" t="s">
        <v>158</v>
      </c>
      <c r="C11" s="7">
        <v>893</v>
      </c>
      <c r="D11" s="7">
        <v>890</v>
      </c>
      <c r="E11" s="7">
        <v>890</v>
      </c>
      <c r="F11" s="7">
        <v>3</v>
      </c>
      <c r="G11" s="4">
        <f t="shared" si="0"/>
        <v>2670</v>
      </c>
      <c r="H11" s="4" t="s">
        <v>42</v>
      </c>
      <c r="I11" s="4">
        <v>14</v>
      </c>
      <c r="J11" s="5">
        <v>27</v>
      </c>
      <c r="K11" s="4">
        <f t="shared" si="1"/>
        <v>378</v>
      </c>
      <c r="L11" s="4">
        <f t="shared" si="2"/>
        <v>3048</v>
      </c>
    </row>
    <row r="12" ht="18" customHeight="1" spans="1:12">
      <c r="A12" s="4">
        <v>10</v>
      </c>
      <c r="B12" s="4" t="s">
        <v>159</v>
      </c>
      <c r="C12" s="7">
        <v>841</v>
      </c>
      <c r="D12" s="7">
        <v>883</v>
      </c>
      <c r="E12" s="7">
        <v>883</v>
      </c>
      <c r="F12" s="7">
        <v>3</v>
      </c>
      <c r="G12" s="4">
        <f t="shared" si="0"/>
        <v>2649</v>
      </c>
      <c r="H12" s="4" t="s">
        <v>44</v>
      </c>
      <c r="I12" s="4">
        <v>5</v>
      </c>
      <c r="J12" s="5">
        <v>30</v>
      </c>
      <c r="K12" s="4">
        <f t="shared" si="1"/>
        <v>150</v>
      </c>
      <c r="L12" s="4">
        <f t="shared" si="2"/>
        <v>2799</v>
      </c>
    </row>
    <row r="13" ht="18" customHeight="1" spans="1:12">
      <c r="A13" s="4">
        <v>11</v>
      </c>
      <c r="B13" s="4" t="s">
        <v>160</v>
      </c>
      <c r="C13" s="7">
        <v>519</v>
      </c>
      <c r="D13" s="7">
        <v>518</v>
      </c>
      <c r="E13" s="7">
        <v>518</v>
      </c>
      <c r="F13" s="7">
        <v>3</v>
      </c>
      <c r="G13" s="4">
        <f t="shared" si="0"/>
        <v>1554</v>
      </c>
      <c r="H13" s="4" t="s">
        <v>46</v>
      </c>
      <c r="I13" s="4">
        <v>12</v>
      </c>
      <c r="J13" s="5">
        <v>33</v>
      </c>
      <c r="K13" s="4">
        <f t="shared" si="1"/>
        <v>396</v>
      </c>
      <c r="L13" s="4">
        <f t="shared" si="2"/>
        <v>1950</v>
      </c>
    </row>
    <row r="14" ht="18" customHeight="1" spans="1:12">
      <c r="A14" s="4">
        <v>12</v>
      </c>
      <c r="B14" s="4" t="s">
        <v>161</v>
      </c>
      <c r="C14" s="7">
        <v>511</v>
      </c>
      <c r="D14" s="7">
        <v>520</v>
      </c>
      <c r="E14" s="7">
        <v>520</v>
      </c>
      <c r="F14" s="7">
        <v>3</v>
      </c>
      <c r="G14" s="4">
        <f t="shared" si="0"/>
        <v>1560</v>
      </c>
      <c r="H14" s="4" t="s">
        <v>48</v>
      </c>
      <c r="I14" s="4">
        <v>8</v>
      </c>
      <c r="J14" s="5">
        <v>36</v>
      </c>
      <c r="K14" s="4">
        <f t="shared" si="1"/>
        <v>288</v>
      </c>
      <c r="L14" s="4">
        <f t="shared" si="2"/>
        <v>1848</v>
      </c>
    </row>
    <row r="15" ht="18" customHeight="1" spans="1:12">
      <c r="A15" s="4">
        <v>13</v>
      </c>
      <c r="B15" s="4" t="s">
        <v>162</v>
      </c>
      <c r="C15" s="7">
        <v>914</v>
      </c>
      <c r="D15" s="7">
        <v>875</v>
      </c>
      <c r="E15" s="7">
        <v>875</v>
      </c>
      <c r="F15" s="7">
        <v>3</v>
      </c>
      <c r="G15" s="4">
        <f t="shared" si="0"/>
        <v>2625</v>
      </c>
      <c r="H15" s="4" t="s">
        <v>50</v>
      </c>
      <c r="I15" s="4">
        <v>1</v>
      </c>
      <c r="J15" s="5">
        <v>39</v>
      </c>
      <c r="K15" s="4">
        <f t="shared" si="1"/>
        <v>39</v>
      </c>
      <c r="L15" s="4">
        <f t="shared" si="2"/>
        <v>2664</v>
      </c>
    </row>
    <row r="16" ht="18" customHeight="1" spans="1:12">
      <c r="A16" s="4">
        <v>14</v>
      </c>
      <c r="B16" s="4" t="s">
        <v>163</v>
      </c>
      <c r="C16" s="7">
        <v>849</v>
      </c>
      <c r="D16" s="7">
        <v>850</v>
      </c>
      <c r="E16" s="7">
        <v>850</v>
      </c>
      <c r="F16" s="7">
        <v>3</v>
      </c>
      <c r="G16" s="4">
        <f t="shared" si="0"/>
        <v>2550</v>
      </c>
      <c r="H16" s="4" t="s">
        <v>52</v>
      </c>
      <c r="I16" s="4">
        <v>1</v>
      </c>
      <c r="J16" s="5">
        <v>42</v>
      </c>
      <c r="K16" s="4">
        <f t="shared" si="1"/>
        <v>42</v>
      </c>
      <c r="L16" s="4">
        <f t="shared" si="2"/>
        <v>2592</v>
      </c>
    </row>
    <row r="17" ht="18" customHeight="1" spans="1:12">
      <c r="A17" s="4">
        <v>15</v>
      </c>
      <c r="B17" s="4" t="s">
        <v>164</v>
      </c>
      <c r="C17" s="7">
        <v>845</v>
      </c>
      <c r="D17" s="7">
        <v>830</v>
      </c>
      <c r="E17" s="7">
        <v>830</v>
      </c>
      <c r="F17" s="7">
        <v>3</v>
      </c>
      <c r="G17" s="4">
        <f t="shared" si="0"/>
        <v>2490</v>
      </c>
      <c r="H17" s="4" t="s">
        <v>54</v>
      </c>
      <c r="I17" s="4">
        <v>5</v>
      </c>
      <c r="J17" s="5">
        <v>45</v>
      </c>
      <c r="K17" s="4">
        <f t="shared" si="1"/>
        <v>225</v>
      </c>
      <c r="L17" s="4">
        <f t="shared" si="2"/>
        <v>2715</v>
      </c>
    </row>
    <row r="18" ht="18" customHeight="1" spans="1:12">
      <c r="A18" s="4">
        <v>16</v>
      </c>
      <c r="B18" s="4" t="s">
        <v>165</v>
      </c>
      <c r="C18" s="7">
        <v>844</v>
      </c>
      <c r="D18" s="7">
        <v>856</v>
      </c>
      <c r="E18" s="7">
        <v>856</v>
      </c>
      <c r="F18" s="7">
        <v>3</v>
      </c>
      <c r="G18" s="4">
        <f t="shared" si="0"/>
        <v>2568</v>
      </c>
      <c r="H18" s="4" t="s">
        <v>56</v>
      </c>
      <c r="I18" s="4">
        <v>1</v>
      </c>
      <c r="J18" s="5">
        <v>48</v>
      </c>
      <c r="K18" s="4">
        <f t="shared" si="1"/>
        <v>48</v>
      </c>
      <c r="L18" s="4">
        <f t="shared" si="2"/>
        <v>2616</v>
      </c>
    </row>
    <row r="19" ht="18" customHeight="1" spans="1:12">
      <c r="A19" s="4">
        <v>17</v>
      </c>
      <c r="B19" s="4" t="s">
        <v>166</v>
      </c>
      <c r="C19" s="7">
        <v>824</v>
      </c>
      <c r="D19" s="7">
        <v>838</v>
      </c>
      <c r="E19" s="7">
        <v>838</v>
      </c>
      <c r="F19" s="7">
        <v>3</v>
      </c>
      <c r="G19" s="4">
        <f t="shared" si="0"/>
        <v>2514</v>
      </c>
      <c r="H19" s="4" t="s">
        <v>58</v>
      </c>
      <c r="I19" s="4">
        <v>2</v>
      </c>
      <c r="J19" s="5">
        <v>51</v>
      </c>
      <c r="K19" s="4">
        <f t="shared" si="1"/>
        <v>102</v>
      </c>
      <c r="L19" s="4">
        <f t="shared" si="2"/>
        <v>2616</v>
      </c>
    </row>
    <row r="20" ht="18" customHeight="1" spans="1:12">
      <c r="A20" s="4">
        <v>18</v>
      </c>
      <c r="B20" s="4" t="s">
        <v>167</v>
      </c>
      <c r="C20" s="7">
        <v>504</v>
      </c>
      <c r="D20" s="7">
        <v>522</v>
      </c>
      <c r="E20" s="7">
        <v>522</v>
      </c>
      <c r="F20" s="7">
        <v>3</v>
      </c>
      <c r="G20" s="4">
        <f t="shared" si="0"/>
        <v>1566</v>
      </c>
      <c r="H20" s="4" t="s">
        <v>60</v>
      </c>
      <c r="I20" s="4">
        <v>3</v>
      </c>
      <c r="J20" s="5">
        <v>54</v>
      </c>
      <c r="K20" s="4">
        <f t="shared" si="1"/>
        <v>162</v>
      </c>
      <c r="L20" s="4">
        <f t="shared" si="2"/>
        <v>1728</v>
      </c>
    </row>
    <row r="21" ht="18" customHeight="1" spans="1:12">
      <c r="A21" s="4">
        <v>19</v>
      </c>
      <c r="B21" s="4" t="s">
        <v>168</v>
      </c>
      <c r="C21" s="7">
        <v>519</v>
      </c>
      <c r="D21" s="7">
        <v>496</v>
      </c>
      <c r="E21" s="7">
        <v>496</v>
      </c>
      <c r="F21" s="7">
        <v>3</v>
      </c>
      <c r="G21" s="4">
        <f t="shared" si="0"/>
        <v>1488</v>
      </c>
      <c r="H21" s="4" t="s">
        <v>62</v>
      </c>
      <c r="I21" s="4">
        <v>1</v>
      </c>
      <c r="J21" s="5">
        <v>57</v>
      </c>
      <c r="K21" s="4">
        <f t="shared" si="1"/>
        <v>57</v>
      </c>
      <c r="L21" s="4">
        <f t="shared" si="2"/>
        <v>1545</v>
      </c>
    </row>
    <row r="22" ht="18" customHeight="1" spans="1:12">
      <c r="A22" s="4">
        <v>20</v>
      </c>
      <c r="B22" s="4" t="s">
        <v>169</v>
      </c>
      <c r="C22" s="7">
        <v>913</v>
      </c>
      <c r="D22" s="7">
        <v>900</v>
      </c>
      <c r="E22" s="7">
        <v>900</v>
      </c>
      <c r="F22" s="7">
        <v>3</v>
      </c>
      <c r="G22" s="4">
        <f t="shared" si="0"/>
        <v>2700</v>
      </c>
      <c r="H22" s="4" t="s">
        <v>64</v>
      </c>
      <c r="I22" s="4">
        <v>0</v>
      </c>
      <c r="J22" s="5">
        <v>60</v>
      </c>
      <c r="K22" s="4">
        <f t="shared" ref="K22:K32" si="3">I22*J22</f>
        <v>0</v>
      </c>
      <c r="L22" s="4">
        <f t="shared" si="2"/>
        <v>2700</v>
      </c>
    </row>
    <row r="23" ht="18" customHeight="1" spans="1:12">
      <c r="A23" s="4">
        <v>21</v>
      </c>
      <c r="B23" s="4" t="s">
        <v>170</v>
      </c>
      <c r="C23" s="7">
        <v>939</v>
      </c>
      <c r="D23" s="7">
        <v>938</v>
      </c>
      <c r="E23" s="7">
        <v>938</v>
      </c>
      <c r="F23" s="7">
        <v>3</v>
      </c>
      <c r="G23" s="4">
        <f t="shared" si="0"/>
        <v>2814</v>
      </c>
      <c r="H23" s="4" t="s">
        <v>66</v>
      </c>
      <c r="I23" s="4">
        <v>0</v>
      </c>
      <c r="J23" s="5">
        <v>63</v>
      </c>
      <c r="K23" s="4">
        <f t="shared" si="3"/>
        <v>0</v>
      </c>
      <c r="L23" s="4">
        <f t="shared" si="2"/>
        <v>2814</v>
      </c>
    </row>
    <row r="24" ht="18" customHeight="1" spans="1:12">
      <c r="A24" s="4">
        <v>22</v>
      </c>
      <c r="B24" s="4" t="s">
        <v>171</v>
      </c>
      <c r="C24" s="7">
        <v>892</v>
      </c>
      <c r="D24" s="7">
        <v>884</v>
      </c>
      <c r="E24" s="7">
        <v>884</v>
      </c>
      <c r="F24" s="7">
        <v>3</v>
      </c>
      <c r="G24" s="4">
        <f t="shared" si="0"/>
        <v>2652</v>
      </c>
      <c r="H24" s="4" t="s">
        <v>68</v>
      </c>
      <c r="I24" s="4">
        <v>0</v>
      </c>
      <c r="J24" s="5">
        <v>66</v>
      </c>
      <c r="K24" s="4">
        <f t="shared" si="3"/>
        <v>0</v>
      </c>
      <c r="L24" s="4">
        <f t="shared" si="2"/>
        <v>2652</v>
      </c>
    </row>
    <row r="25" ht="18" customHeight="1" spans="1:12">
      <c r="A25" s="4">
        <v>23</v>
      </c>
      <c r="B25" s="4" t="s">
        <v>172</v>
      </c>
      <c r="C25" s="7">
        <v>867</v>
      </c>
      <c r="D25" s="7">
        <v>853</v>
      </c>
      <c r="E25" s="7">
        <v>853</v>
      </c>
      <c r="F25" s="7">
        <v>3</v>
      </c>
      <c r="G25" s="4">
        <f t="shared" si="0"/>
        <v>2559</v>
      </c>
      <c r="H25" s="4" t="s">
        <v>70</v>
      </c>
      <c r="I25" s="4">
        <v>2</v>
      </c>
      <c r="J25" s="5">
        <v>69</v>
      </c>
      <c r="K25" s="4">
        <f t="shared" si="3"/>
        <v>138</v>
      </c>
      <c r="L25" s="4">
        <f t="shared" si="2"/>
        <v>2697</v>
      </c>
    </row>
    <row r="26" ht="18" customHeight="1" spans="1:12">
      <c r="A26" s="4">
        <v>24</v>
      </c>
      <c r="B26" s="4" t="s">
        <v>173</v>
      </c>
      <c r="C26" s="7">
        <v>851</v>
      </c>
      <c r="D26" s="7">
        <v>865</v>
      </c>
      <c r="E26" s="7">
        <v>865</v>
      </c>
      <c r="F26" s="7">
        <v>3</v>
      </c>
      <c r="G26" s="4">
        <f t="shared" si="0"/>
        <v>2595</v>
      </c>
      <c r="H26" s="4" t="s">
        <v>72</v>
      </c>
      <c r="I26" s="4">
        <v>0</v>
      </c>
      <c r="J26" s="5">
        <v>72</v>
      </c>
      <c r="K26" s="4">
        <f t="shared" si="3"/>
        <v>0</v>
      </c>
      <c r="L26" s="4">
        <f t="shared" si="2"/>
        <v>2595</v>
      </c>
    </row>
    <row r="27" ht="18" customHeight="1" spans="1:12">
      <c r="A27" s="4">
        <v>25</v>
      </c>
      <c r="B27" s="4" t="s">
        <v>174</v>
      </c>
      <c r="C27" s="7">
        <v>487</v>
      </c>
      <c r="D27" s="7">
        <v>525</v>
      </c>
      <c r="E27" s="7">
        <v>525</v>
      </c>
      <c r="F27" s="7">
        <v>3</v>
      </c>
      <c r="G27" s="4">
        <f t="shared" si="0"/>
        <v>1575</v>
      </c>
      <c r="H27" s="4" t="s">
        <v>74</v>
      </c>
      <c r="I27" s="4">
        <v>1</v>
      </c>
      <c r="J27" s="5">
        <v>75</v>
      </c>
      <c r="K27" s="4">
        <f t="shared" si="3"/>
        <v>75</v>
      </c>
      <c r="L27" s="4">
        <f t="shared" si="2"/>
        <v>1650</v>
      </c>
    </row>
    <row r="28" ht="18" customHeight="1" spans="1:12">
      <c r="A28" s="4">
        <v>26</v>
      </c>
      <c r="B28" s="4" t="s">
        <v>175</v>
      </c>
      <c r="C28" s="7">
        <v>503</v>
      </c>
      <c r="D28" s="7">
        <v>492</v>
      </c>
      <c r="E28" s="7">
        <v>492</v>
      </c>
      <c r="F28" s="7">
        <v>3</v>
      </c>
      <c r="G28" s="4">
        <f t="shared" si="0"/>
        <v>1476</v>
      </c>
      <c r="H28" s="4" t="s">
        <v>76</v>
      </c>
      <c r="I28" s="4">
        <v>0</v>
      </c>
      <c r="J28" s="5">
        <v>78</v>
      </c>
      <c r="K28" s="4">
        <f t="shared" si="3"/>
        <v>0</v>
      </c>
      <c r="L28" s="4">
        <f t="shared" si="2"/>
        <v>1476</v>
      </c>
    </row>
    <row r="29" ht="18" customHeight="1" spans="1:12">
      <c r="A29" s="4">
        <v>27</v>
      </c>
      <c r="B29" s="4" t="s">
        <v>176</v>
      </c>
      <c r="C29" s="7">
        <v>903</v>
      </c>
      <c r="D29" s="7">
        <v>866</v>
      </c>
      <c r="E29" s="7">
        <v>866</v>
      </c>
      <c r="F29" s="7">
        <v>3</v>
      </c>
      <c r="G29" s="4">
        <f t="shared" si="0"/>
        <v>2598</v>
      </c>
      <c r="H29" s="4" t="s">
        <v>78</v>
      </c>
      <c r="I29" s="4">
        <v>2</v>
      </c>
      <c r="J29" s="5">
        <v>81</v>
      </c>
      <c r="K29" s="4">
        <f t="shared" si="3"/>
        <v>162</v>
      </c>
      <c r="L29" s="4">
        <f t="shared" si="2"/>
        <v>2760</v>
      </c>
    </row>
    <row r="30" ht="18" customHeight="1" spans="1:12">
      <c r="A30" s="4">
        <v>28</v>
      </c>
      <c r="B30" s="4" t="s">
        <v>177</v>
      </c>
      <c r="C30" s="7">
        <v>871</v>
      </c>
      <c r="D30" s="7">
        <v>861</v>
      </c>
      <c r="E30" s="7">
        <v>861</v>
      </c>
      <c r="F30" s="7">
        <v>3</v>
      </c>
      <c r="G30" s="4">
        <f t="shared" si="0"/>
        <v>2583</v>
      </c>
      <c r="H30" s="4" t="s">
        <v>80</v>
      </c>
      <c r="I30" s="4">
        <v>0</v>
      </c>
      <c r="J30" s="5">
        <v>84</v>
      </c>
      <c r="K30" s="4">
        <f t="shared" si="3"/>
        <v>0</v>
      </c>
      <c r="L30" s="4">
        <f t="shared" si="2"/>
        <v>2583</v>
      </c>
    </row>
    <row r="31" ht="18" customHeight="1" spans="1:12">
      <c r="A31" s="4">
        <v>29</v>
      </c>
      <c r="B31" s="4" t="s">
        <v>178</v>
      </c>
      <c r="C31" s="7">
        <v>855</v>
      </c>
      <c r="D31" s="7">
        <v>847</v>
      </c>
      <c r="E31" s="7">
        <v>847</v>
      </c>
      <c r="F31" s="7">
        <v>3</v>
      </c>
      <c r="G31" s="4">
        <f t="shared" si="0"/>
        <v>2541</v>
      </c>
      <c r="H31" s="4" t="s">
        <v>82</v>
      </c>
      <c r="I31" s="4">
        <v>1</v>
      </c>
      <c r="J31" s="5">
        <v>87</v>
      </c>
      <c r="K31" s="4">
        <f t="shared" si="3"/>
        <v>87</v>
      </c>
      <c r="L31" s="4">
        <f t="shared" si="2"/>
        <v>2628</v>
      </c>
    </row>
    <row r="32" ht="18" customHeight="1" spans="1:12">
      <c r="A32" s="4">
        <v>30</v>
      </c>
      <c r="B32" s="4" t="s">
        <v>179</v>
      </c>
      <c r="C32" s="7">
        <v>837</v>
      </c>
      <c r="D32" s="7">
        <v>905</v>
      </c>
      <c r="E32" s="7">
        <v>905</v>
      </c>
      <c r="F32" s="7">
        <v>3</v>
      </c>
      <c r="G32" s="4">
        <f t="shared" si="0"/>
        <v>2715</v>
      </c>
      <c r="H32" s="4" t="s">
        <v>84</v>
      </c>
      <c r="I32" s="4">
        <v>0</v>
      </c>
      <c r="J32" s="5">
        <v>90</v>
      </c>
      <c r="K32" s="4">
        <f t="shared" si="3"/>
        <v>0</v>
      </c>
      <c r="L32" s="4">
        <f t="shared" si="2"/>
        <v>2715</v>
      </c>
    </row>
    <row r="33" ht="18" customHeight="1" spans="1:12">
      <c r="A33" s="4" t="s">
        <v>87</v>
      </c>
      <c r="B33" s="8"/>
      <c r="C33" s="7">
        <f>SUM(C3:C32)</f>
        <v>22681</v>
      </c>
      <c r="D33" s="7">
        <f>SUM(D3:D32)</f>
        <v>22690</v>
      </c>
      <c r="E33" s="7">
        <f>SUM(E3:E32)</f>
        <v>22690</v>
      </c>
      <c r="F33" s="7">
        <v>3</v>
      </c>
      <c r="G33" s="4">
        <f t="shared" si="0"/>
        <v>68070</v>
      </c>
      <c r="H33" s="7"/>
      <c r="I33" s="7"/>
      <c r="J33" s="8"/>
      <c r="K33" s="4">
        <f>SUM(K3:K32)</f>
        <v>14103</v>
      </c>
      <c r="L33" s="4">
        <f t="shared" si="2"/>
        <v>82173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3" workbookViewId="0">
      <selection activeCell="I3" sqref="I3:I33"/>
    </sheetView>
  </sheetViews>
  <sheetFormatPr defaultColWidth="9" defaultRowHeight="13.5"/>
  <cols>
    <col min="1" max="1" width="9.125" customWidth="1"/>
    <col min="2" max="7" width="16.625" customWidth="1"/>
    <col min="8" max="8" width="9.25833333333333" customWidth="1"/>
    <col min="9" max="9" width="9.125" customWidth="1"/>
    <col min="10" max="10" width="10.7583333333333" customWidth="1"/>
    <col min="11" max="11" width="23.625" customWidth="1"/>
    <col min="12" max="12" width="18.375" customWidth="1"/>
  </cols>
  <sheetData>
    <row r="1" ht="30" customHeight="1" spans="1:12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2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181</v>
      </c>
      <c r="C3" s="4">
        <v>436</v>
      </c>
      <c r="D3" s="4">
        <v>446</v>
      </c>
      <c r="E3" s="4">
        <v>446</v>
      </c>
      <c r="F3" s="4">
        <v>3</v>
      </c>
      <c r="G3" s="4">
        <f t="shared" ref="G3:G34" si="0">E3*F3</f>
        <v>1338</v>
      </c>
      <c r="H3" s="4" t="s">
        <v>26</v>
      </c>
      <c r="I3" s="4">
        <v>1531</v>
      </c>
      <c r="J3" s="5">
        <v>3</v>
      </c>
      <c r="K3" s="4">
        <f>I3*J3</f>
        <v>4593</v>
      </c>
      <c r="L3" s="4">
        <f>G3+K3</f>
        <v>5931</v>
      </c>
    </row>
    <row r="4" ht="18" customHeight="1" spans="1:12">
      <c r="A4" s="4">
        <v>2</v>
      </c>
      <c r="B4" s="4" t="s">
        <v>182</v>
      </c>
      <c r="C4" s="4">
        <v>383</v>
      </c>
      <c r="D4" s="4">
        <v>408</v>
      </c>
      <c r="E4" s="4">
        <v>408</v>
      </c>
      <c r="F4" s="7">
        <v>3</v>
      </c>
      <c r="G4" s="4">
        <f t="shared" si="0"/>
        <v>1224</v>
      </c>
      <c r="H4" s="4" t="s">
        <v>28</v>
      </c>
      <c r="I4" s="4">
        <v>338</v>
      </c>
      <c r="J4" s="5">
        <v>6</v>
      </c>
      <c r="K4" s="4">
        <f t="shared" ref="K4:K33" si="1">I4*J4</f>
        <v>2028</v>
      </c>
      <c r="L4" s="4">
        <f t="shared" ref="L4:L34" si="2">G4+K4</f>
        <v>3252</v>
      </c>
    </row>
    <row r="5" ht="18" customHeight="1" spans="1:12">
      <c r="A5" s="4">
        <v>3</v>
      </c>
      <c r="B5" s="4" t="s">
        <v>183</v>
      </c>
      <c r="C5" s="4">
        <v>414</v>
      </c>
      <c r="D5" s="4">
        <v>379</v>
      </c>
      <c r="E5" s="4">
        <v>379</v>
      </c>
      <c r="F5" s="7">
        <v>3</v>
      </c>
      <c r="G5" s="4">
        <f t="shared" si="0"/>
        <v>1137</v>
      </c>
      <c r="H5" s="4" t="s">
        <v>30</v>
      </c>
      <c r="I5" s="4">
        <v>166</v>
      </c>
      <c r="J5" s="5">
        <v>9</v>
      </c>
      <c r="K5" s="4">
        <f t="shared" si="1"/>
        <v>1494</v>
      </c>
      <c r="L5" s="4">
        <f t="shared" si="2"/>
        <v>2631</v>
      </c>
    </row>
    <row r="6" ht="18" customHeight="1" spans="1:12">
      <c r="A6" s="4">
        <v>4</v>
      </c>
      <c r="B6" s="4" t="s">
        <v>184</v>
      </c>
      <c r="C6" s="4">
        <v>783</v>
      </c>
      <c r="D6" s="4">
        <v>767</v>
      </c>
      <c r="E6" s="4">
        <v>767</v>
      </c>
      <c r="F6" s="7">
        <v>3</v>
      </c>
      <c r="G6" s="4">
        <f t="shared" si="0"/>
        <v>2301</v>
      </c>
      <c r="H6" s="4" t="s">
        <v>32</v>
      </c>
      <c r="I6" s="4">
        <v>116</v>
      </c>
      <c r="J6" s="5">
        <v>12</v>
      </c>
      <c r="K6" s="4">
        <f t="shared" si="1"/>
        <v>1392</v>
      </c>
      <c r="L6" s="4">
        <f t="shared" si="2"/>
        <v>3693</v>
      </c>
    </row>
    <row r="7" ht="18" customHeight="1" spans="1:12">
      <c r="A7" s="4">
        <v>5</v>
      </c>
      <c r="B7" s="4" t="s">
        <v>185</v>
      </c>
      <c r="C7" s="4">
        <v>792</v>
      </c>
      <c r="D7" s="4">
        <v>790</v>
      </c>
      <c r="E7" s="4">
        <v>790</v>
      </c>
      <c r="F7" s="7">
        <v>3</v>
      </c>
      <c r="G7" s="4">
        <f t="shared" si="0"/>
        <v>2370</v>
      </c>
      <c r="H7" s="4" t="s">
        <v>34</v>
      </c>
      <c r="I7" s="4">
        <v>47</v>
      </c>
      <c r="J7" s="5">
        <v>15</v>
      </c>
      <c r="K7" s="4">
        <f t="shared" si="1"/>
        <v>705</v>
      </c>
      <c r="L7" s="4">
        <f t="shared" si="2"/>
        <v>3075</v>
      </c>
    </row>
    <row r="8" ht="18" customHeight="1" spans="1:12">
      <c r="A8" s="4">
        <v>6</v>
      </c>
      <c r="B8" s="4" t="s">
        <v>186</v>
      </c>
      <c r="C8" s="7">
        <v>866</v>
      </c>
      <c r="D8" s="7">
        <v>848</v>
      </c>
      <c r="E8" s="7">
        <v>848</v>
      </c>
      <c r="F8" s="7">
        <v>3</v>
      </c>
      <c r="G8" s="4">
        <f t="shared" si="0"/>
        <v>2544</v>
      </c>
      <c r="H8" s="4" t="s">
        <v>36</v>
      </c>
      <c r="I8" s="4">
        <v>32</v>
      </c>
      <c r="J8" s="5">
        <v>18</v>
      </c>
      <c r="K8" s="4">
        <f t="shared" si="1"/>
        <v>576</v>
      </c>
      <c r="L8" s="4">
        <f t="shared" si="2"/>
        <v>3120</v>
      </c>
    </row>
    <row r="9" ht="18" customHeight="1" spans="1:12">
      <c r="A9" s="4">
        <v>7</v>
      </c>
      <c r="B9" s="4" t="s">
        <v>187</v>
      </c>
      <c r="C9" s="7">
        <v>879</v>
      </c>
      <c r="D9" s="7">
        <v>894</v>
      </c>
      <c r="E9" s="7">
        <v>894</v>
      </c>
      <c r="F9" s="7">
        <v>3</v>
      </c>
      <c r="G9" s="4">
        <f t="shared" si="0"/>
        <v>2682</v>
      </c>
      <c r="H9" s="4" t="s">
        <v>38</v>
      </c>
      <c r="I9" s="4">
        <v>14</v>
      </c>
      <c r="J9" s="5">
        <v>21</v>
      </c>
      <c r="K9" s="4">
        <f t="shared" si="1"/>
        <v>294</v>
      </c>
      <c r="L9" s="4">
        <f t="shared" si="2"/>
        <v>2976</v>
      </c>
    </row>
    <row r="10" ht="18" customHeight="1" spans="1:12">
      <c r="A10" s="4">
        <v>8</v>
      </c>
      <c r="B10" s="4" t="s">
        <v>188</v>
      </c>
      <c r="C10" s="7">
        <v>851</v>
      </c>
      <c r="D10" s="7">
        <v>881</v>
      </c>
      <c r="E10" s="7">
        <v>881</v>
      </c>
      <c r="F10" s="7">
        <v>3</v>
      </c>
      <c r="G10" s="4">
        <f t="shared" si="0"/>
        <v>2643</v>
      </c>
      <c r="H10" s="4" t="s">
        <v>40</v>
      </c>
      <c r="I10" s="4">
        <v>8</v>
      </c>
      <c r="J10" s="5">
        <v>24</v>
      </c>
      <c r="K10" s="4">
        <f t="shared" si="1"/>
        <v>192</v>
      </c>
      <c r="L10" s="4">
        <f t="shared" si="2"/>
        <v>2835</v>
      </c>
    </row>
    <row r="11" ht="18" customHeight="1" spans="1:12">
      <c r="A11" s="4">
        <v>9</v>
      </c>
      <c r="B11" s="4" t="s">
        <v>189</v>
      </c>
      <c r="C11" s="7">
        <v>515</v>
      </c>
      <c r="D11" s="7">
        <v>520</v>
      </c>
      <c r="E11" s="7">
        <v>520</v>
      </c>
      <c r="F11" s="7">
        <v>3</v>
      </c>
      <c r="G11" s="4">
        <f t="shared" si="0"/>
        <v>1560</v>
      </c>
      <c r="H11" s="4" t="s">
        <v>42</v>
      </c>
      <c r="I11" s="4">
        <v>7</v>
      </c>
      <c r="J11" s="5">
        <v>27</v>
      </c>
      <c r="K11" s="4">
        <f t="shared" si="1"/>
        <v>189</v>
      </c>
      <c r="L11" s="4">
        <f t="shared" si="2"/>
        <v>1749</v>
      </c>
    </row>
    <row r="12" ht="18" customHeight="1" spans="1:12">
      <c r="A12" s="4">
        <v>10</v>
      </c>
      <c r="B12" s="4" t="s">
        <v>190</v>
      </c>
      <c r="C12" s="7">
        <v>475</v>
      </c>
      <c r="D12" s="7">
        <v>485</v>
      </c>
      <c r="E12" s="7">
        <v>485</v>
      </c>
      <c r="F12" s="7">
        <v>3</v>
      </c>
      <c r="G12" s="4">
        <f t="shared" si="0"/>
        <v>1455</v>
      </c>
      <c r="H12" s="4" t="s">
        <v>44</v>
      </c>
      <c r="I12" s="4">
        <v>6</v>
      </c>
      <c r="J12" s="5">
        <v>30</v>
      </c>
      <c r="K12" s="4">
        <f t="shared" si="1"/>
        <v>180</v>
      </c>
      <c r="L12" s="4">
        <f t="shared" si="2"/>
        <v>1635</v>
      </c>
    </row>
    <row r="13" ht="18" customHeight="1" spans="1:12">
      <c r="A13" s="4">
        <v>11</v>
      </c>
      <c r="B13" s="4" t="s">
        <v>191</v>
      </c>
      <c r="C13" s="7">
        <v>885</v>
      </c>
      <c r="D13" s="7">
        <v>861</v>
      </c>
      <c r="E13" s="7">
        <v>861</v>
      </c>
      <c r="F13" s="7">
        <v>3</v>
      </c>
      <c r="G13" s="4">
        <f t="shared" si="0"/>
        <v>2583</v>
      </c>
      <c r="H13" s="4" t="s">
        <v>46</v>
      </c>
      <c r="I13" s="4">
        <v>11</v>
      </c>
      <c r="J13" s="5">
        <v>33</v>
      </c>
      <c r="K13" s="4">
        <f t="shared" si="1"/>
        <v>363</v>
      </c>
      <c r="L13" s="4">
        <f t="shared" si="2"/>
        <v>2946</v>
      </c>
    </row>
    <row r="14" ht="18" customHeight="1" spans="1:12">
      <c r="A14" s="4">
        <v>12</v>
      </c>
      <c r="B14" s="4" t="s">
        <v>192</v>
      </c>
      <c r="C14" s="7">
        <v>837</v>
      </c>
      <c r="D14" s="7">
        <v>827</v>
      </c>
      <c r="E14" s="7">
        <v>827</v>
      </c>
      <c r="F14" s="7">
        <v>3</v>
      </c>
      <c r="G14" s="4">
        <f t="shared" si="0"/>
        <v>2481</v>
      </c>
      <c r="H14" s="4" t="s">
        <v>48</v>
      </c>
      <c r="I14" s="4">
        <v>6</v>
      </c>
      <c r="J14" s="5">
        <v>36</v>
      </c>
      <c r="K14" s="4">
        <f t="shared" si="1"/>
        <v>216</v>
      </c>
      <c r="L14" s="4">
        <f t="shared" si="2"/>
        <v>2697</v>
      </c>
    </row>
    <row r="15" ht="18" customHeight="1" spans="1:12">
      <c r="A15" s="4">
        <v>13</v>
      </c>
      <c r="B15" s="4" t="s">
        <v>193</v>
      </c>
      <c r="C15" s="7">
        <v>848</v>
      </c>
      <c r="D15" s="7">
        <v>865</v>
      </c>
      <c r="E15" s="7">
        <v>865</v>
      </c>
      <c r="F15" s="7">
        <v>3</v>
      </c>
      <c r="G15" s="4">
        <f t="shared" si="0"/>
        <v>2595</v>
      </c>
      <c r="H15" s="4" t="s">
        <v>50</v>
      </c>
      <c r="I15" s="4">
        <v>1</v>
      </c>
      <c r="J15" s="5">
        <v>39</v>
      </c>
      <c r="K15" s="4">
        <f t="shared" si="1"/>
        <v>39</v>
      </c>
      <c r="L15" s="4">
        <f t="shared" si="2"/>
        <v>2634</v>
      </c>
    </row>
    <row r="16" ht="18" customHeight="1" spans="1:12">
      <c r="A16" s="4">
        <v>14</v>
      </c>
      <c r="B16" s="4" t="s">
        <v>194</v>
      </c>
      <c r="C16" s="7">
        <v>851</v>
      </c>
      <c r="D16" s="7">
        <v>827</v>
      </c>
      <c r="E16" s="7">
        <v>827</v>
      </c>
      <c r="F16" s="7">
        <v>3</v>
      </c>
      <c r="G16" s="4">
        <f t="shared" si="0"/>
        <v>2481</v>
      </c>
      <c r="H16" s="4" t="s">
        <v>52</v>
      </c>
      <c r="I16" s="4">
        <v>5</v>
      </c>
      <c r="J16" s="5">
        <v>42</v>
      </c>
      <c r="K16" s="4">
        <f t="shared" si="1"/>
        <v>210</v>
      </c>
      <c r="L16" s="4">
        <f t="shared" si="2"/>
        <v>2691</v>
      </c>
    </row>
    <row r="17" ht="18" customHeight="1" spans="1:12">
      <c r="A17" s="4">
        <v>15</v>
      </c>
      <c r="B17" s="4" t="s">
        <v>195</v>
      </c>
      <c r="C17" s="7">
        <v>825</v>
      </c>
      <c r="D17" s="7">
        <v>828</v>
      </c>
      <c r="E17" s="7">
        <v>828</v>
      </c>
      <c r="F17" s="7">
        <v>3</v>
      </c>
      <c r="G17" s="4">
        <f t="shared" si="0"/>
        <v>2484</v>
      </c>
      <c r="H17" s="4" t="s">
        <v>54</v>
      </c>
      <c r="I17" s="4">
        <v>2</v>
      </c>
      <c r="J17" s="5">
        <v>45</v>
      </c>
      <c r="K17" s="4">
        <f t="shared" si="1"/>
        <v>90</v>
      </c>
      <c r="L17" s="4">
        <f t="shared" si="2"/>
        <v>2574</v>
      </c>
    </row>
    <row r="18" ht="18" customHeight="1" spans="1:12">
      <c r="A18" s="4">
        <v>16</v>
      </c>
      <c r="B18" s="4" t="s">
        <v>196</v>
      </c>
      <c r="C18" s="7">
        <v>554</v>
      </c>
      <c r="D18" s="7">
        <v>581</v>
      </c>
      <c r="E18" s="7">
        <v>581</v>
      </c>
      <c r="F18" s="7">
        <v>3</v>
      </c>
      <c r="G18" s="4">
        <f t="shared" si="0"/>
        <v>1743</v>
      </c>
      <c r="H18" s="4" t="s">
        <v>56</v>
      </c>
      <c r="I18" s="4">
        <v>3</v>
      </c>
      <c r="J18" s="5">
        <v>48</v>
      </c>
      <c r="K18" s="4">
        <f t="shared" si="1"/>
        <v>144</v>
      </c>
      <c r="L18" s="4">
        <f t="shared" si="2"/>
        <v>1887</v>
      </c>
    </row>
    <row r="19" ht="18" customHeight="1" spans="1:12">
      <c r="A19" s="4">
        <v>17</v>
      </c>
      <c r="B19" s="4" t="s">
        <v>197</v>
      </c>
      <c r="C19" s="7">
        <v>539</v>
      </c>
      <c r="D19" s="7">
        <v>530</v>
      </c>
      <c r="E19" s="7">
        <v>530</v>
      </c>
      <c r="F19" s="7">
        <v>3</v>
      </c>
      <c r="G19" s="4">
        <f t="shared" si="0"/>
        <v>1590</v>
      </c>
      <c r="H19" s="4" t="s">
        <v>58</v>
      </c>
      <c r="I19" s="4">
        <v>4</v>
      </c>
      <c r="J19" s="5">
        <v>51</v>
      </c>
      <c r="K19" s="4">
        <f t="shared" si="1"/>
        <v>204</v>
      </c>
      <c r="L19" s="4">
        <f t="shared" si="2"/>
        <v>1794</v>
      </c>
    </row>
    <row r="20" ht="18" customHeight="1" spans="1:12">
      <c r="A20" s="4">
        <v>18</v>
      </c>
      <c r="B20" s="4" t="s">
        <v>198</v>
      </c>
      <c r="C20" s="7">
        <v>911</v>
      </c>
      <c r="D20" s="7">
        <v>918</v>
      </c>
      <c r="E20" s="7">
        <v>918</v>
      </c>
      <c r="F20" s="7">
        <v>3</v>
      </c>
      <c r="G20" s="4">
        <f t="shared" si="0"/>
        <v>2754</v>
      </c>
      <c r="H20" s="4" t="s">
        <v>60</v>
      </c>
      <c r="I20" s="4">
        <v>1</v>
      </c>
      <c r="J20" s="5">
        <v>54</v>
      </c>
      <c r="K20" s="4">
        <f t="shared" si="1"/>
        <v>54</v>
      </c>
      <c r="L20" s="4">
        <f t="shared" si="2"/>
        <v>2808</v>
      </c>
    </row>
    <row r="21" ht="18" customHeight="1" spans="1:12">
      <c r="A21" s="4">
        <v>19</v>
      </c>
      <c r="B21" s="4" t="s">
        <v>199</v>
      </c>
      <c r="C21" s="7">
        <v>876</v>
      </c>
      <c r="D21" s="7">
        <v>867</v>
      </c>
      <c r="E21" s="7">
        <v>867</v>
      </c>
      <c r="F21" s="7">
        <v>3</v>
      </c>
      <c r="G21" s="4">
        <f t="shared" si="0"/>
        <v>2601</v>
      </c>
      <c r="H21" s="4" t="s">
        <v>62</v>
      </c>
      <c r="I21" s="4">
        <v>2</v>
      </c>
      <c r="J21" s="5">
        <v>57</v>
      </c>
      <c r="K21" s="4">
        <f t="shared" si="1"/>
        <v>114</v>
      </c>
      <c r="L21" s="4">
        <f t="shared" si="2"/>
        <v>2715</v>
      </c>
    </row>
    <row r="22" ht="18" customHeight="1" spans="1:12">
      <c r="A22" s="4">
        <v>20</v>
      </c>
      <c r="B22" s="4" t="s">
        <v>200</v>
      </c>
      <c r="C22" s="7">
        <v>905</v>
      </c>
      <c r="D22" s="7">
        <v>905</v>
      </c>
      <c r="E22" s="7">
        <v>905</v>
      </c>
      <c r="F22" s="7">
        <v>3</v>
      </c>
      <c r="G22" s="4">
        <f t="shared" si="0"/>
        <v>2715</v>
      </c>
      <c r="H22" s="4" t="s">
        <v>64</v>
      </c>
      <c r="I22" s="4">
        <v>4</v>
      </c>
      <c r="J22" s="5">
        <v>60</v>
      </c>
      <c r="K22" s="4">
        <f t="shared" si="1"/>
        <v>240</v>
      </c>
      <c r="L22" s="4">
        <f t="shared" si="2"/>
        <v>2955</v>
      </c>
    </row>
    <row r="23" ht="18" customHeight="1" spans="1:12">
      <c r="A23" s="4">
        <v>21</v>
      </c>
      <c r="B23" s="4" t="s">
        <v>201</v>
      </c>
      <c r="C23" s="7">
        <v>883</v>
      </c>
      <c r="D23" s="7">
        <v>892</v>
      </c>
      <c r="E23" s="7">
        <v>892</v>
      </c>
      <c r="F23" s="7">
        <v>3</v>
      </c>
      <c r="G23" s="4">
        <f t="shared" si="0"/>
        <v>2676</v>
      </c>
      <c r="H23" s="4" t="s">
        <v>66</v>
      </c>
      <c r="I23" s="4">
        <v>0</v>
      </c>
      <c r="J23" s="5">
        <v>63</v>
      </c>
      <c r="K23" s="4">
        <f t="shared" si="1"/>
        <v>0</v>
      </c>
      <c r="L23" s="4">
        <f t="shared" si="2"/>
        <v>2676</v>
      </c>
    </row>
    <row r="24" ht="18" customHeight="1" spans="1:12">
      <c r="A24" s="4">
        <v>22</v>
      </c>
      <c r="B24" s="4" t="s">
        <v>202</v>
      </c>
      <c r="C24" s="7">
        <v>866</v>
      </c>
      <c r="D24" s="7">
        <v>878</v>
      </c>
      <c r="E24" s="7">
        <v>878</v>
      </c>
      <c r="F24" s="7">
        <v>3</v>
      </c>
      <c r="G24" s="4">
        <f t="shared" si="0"/>
        <v>2634</v>
      </c>
      <c r="H24" s="4" t="s">
        <v>68</v>
      </c>
      <c r="I24" s="4">
        <v>1</v>
      </c>
      <c r="J24" s="5">
        <v>66</v>
      </c>
      <c r="K24" s="4">
        <f t="shared" si="1"/>
        <v>66</v>
      </c>
      <c r="L24" s="4">
        <f t="shared" si="2"/>
        <v>2700</v>
      </c>
    </row>
    <row r="25" ht="18" customHeight="1" spans="1:12">
      <c r="A25" s="4">
        <v>23</v>
      </c>
      <c r="B25" s="4" t="s">
        <v>203</v>
      </c>
      <c r="C25" s="7">
        <v>485</v>
      </c>
      <c r="D25" s="7">
        <v>506</v>
      </c>
      <c r="E25" s="7">
        <v>506</v>
      </c>
      <c r="F25" s="7">
        <v>3</v>
      </c>
      <c r="G25" s="4">
        <f t="shared" si="0"/>
        <v>1518</v>
      </c>
      <c r="H25" s="4" t="s">
        <v>70</v>
      </c>
      <c r="I25" s="4">
        <v>0</v>
      </c>
      <c r="J25" s="5">
        <v>69</v>
      </c>
      <c r="K25" s="4">
        <f t="shared" si="1"/>
        <v>0</v>
      </c>
      <c r="L25" s="4">
        <f t="shared" si="2"/>
        <v>1518</v>
      </c>
    </row>
    <row r="26" ht="18" customHeight="1" spans="1:12">
      <c r="A26" s="4">
        <v>24</v>
      </c>
      <c r="B26" s="4" t="s">
        <v>204</v>
      </c>
      <c r="C26" s="7">
        <v>476</v>
      </c>
      <c r="D26" s="7">
        <v>483</v>
      </c>
      <c r="E26" s="7">
        <v>483</v>
      </c>
      <c r="F26" s="7">
        <v>3</v>
      </c>
      <c r="G26" s="4">
        <f t="shared" si="0"/>
        <v>1449</v>
      </c>
      <c r="H26" s="4" t="s">
        <v>72</v>
      </c>
      <c r="I26" s="4">
        <v>2</v>
      </c>
      <c r="J26" s="5">
        <v>72</v>
      </c>
      <c r="K26" s="4">
        <f t="shared" si="1"/>
        <v>144</v>
      </c>
      <c r="L26" s="4">
        <f t="shared" si="2"/>
        <v>1593</v>
      </c>
    </row>
    <row r="27" ht="18" customHeight="1" spans="1:12">
      <c r="A27" s="4">
        <v>25</v>
      </c>
      <c r="B27" s="4" t="s">
        <v>205</v>
      </c>
      <c r="C27" s="7">
        <v>919</v>
      </c>
      <c r="D27" s="7">
        <v>924</v>
      </c>
      <c r="E27" s="7">
        <v>924</v>
      </c>
      <c r="F27" s="7">
        <v>3</v>
      </c>
      <c r="G27" s="4">
        <f t="shared" si="0"/>
        <v>2772</v>
      </c>
      <c r="H27" s="4" t="s">
        <v>74</v>
      </c>
      <c r="I27" s="4">
        <v>1</v>
      </c>
      <c r="J27" s="5">
        <v>75</v>
      </c>
      <c r="K27" s="4">
        <f t="shared" si="1"/>
        <v>75</v>
      </c>
      <c r="L27" s="4">
        <f t="shared" si="2"/>
        <v>2847</v>
      </c>
    </row>
    <row r="28" ht="18" customHeight="1" spans="1:12">
      <c r="A28" s="4">
        <v>26</v>
      </c>
      <c r="B28" s="4" t="s">
        <v>206</v>
      </c>
      <c r="C28" s="7">
        <v>886</v>
      </c>
      <c r="D28" s="7">
        <v>875</v>
      </c>
      <c r="E28" s="7">
        <v>875</v>
      </c>
      <c r="F28" s="7">
        <v>3</v>
      </c>
      <c r="G28" s="4">
        <f t="shared" si="0"/>
        <v>2625</v>
      </c>
      <c r="H28" s="4" t="s">
        <v>76</v>
      </c>
      <c r="I28" s="4">
        <v>1</v>
      </c>
      <c r="J28" s="5">
        <v>78</v>
      </c>
      <c r="K28" s="4">
        <f t="shared" si="1"/>
        <v>78</v>
      </c>
      <c r="L28" s="4">
        <f t="shared" si="2"/>
        <v>2703</v>
      </c>
    </row>
    <row r="29" ht="18" customHeight="1" spans="1:12">
      <c r="A29" s="4">
        <v>27</v>
      </c>
      <c r="B29" s="4" t="s">
        <v>207</v>
      </c>
      <c r="C29" s="7">
        <v>871</v>
      </c>
      <c r="D29" s="7">
        <v>864</v>
      </c>
      <c r="E29" s="7">
        <v>864</v>
      </c>
      <c r="F29" s="7">
        <v>3</v>
      </c>
      <c r="G29" s="4">
        <f t="shared" si="0"/>
        <v>2592</v>
      </c>
      <c r="H29" s="4" t="s">
        <v>78</v>
      </c>
      <c r="I29" s="4">
        <v>1</v>
      </c>
      <c r="J29" s="5">
        <v>81</v>
      </c>
      <c r="K29" s="4">
        <f t="shared" si="1"/>
        <v>81</v>
      </c>
      <c r="L29" s="4">
        <f t="shared" si="2"/>
        <v>2673</v>
      </c>
    </row>
    <row r="30" ht="18" customHeight="1" spans="1:12">
      <c r="A30" s="4">
        <v>28</v>
      </c>
      <c r="B30" s="4" t="s">
        <v>208</v>
      </c>
      <c r="C30" s="7">
        <v>861</v>
      </c>
      <c r="D30" s="7">
        <v>841</v>
      </c>
      <c r="E30" s="7">
        <v>841</v>
      </c>
      <c r="F30" s="7">
        <v>3</v>
      </c>
      <c r="G30" s="4">
        <f t="shared" si="0"/>
        <v>2523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2523</v>
      </c>
    </row>
    <row r="31" ht="18" customHeight="1" spans="1:12">
      <c r="A31" s="4">
        <v>29</v>
      </c>
      <c r="B31" s="4" t="s">
        <v>209</v>
      </c>
      <c r="C31" s="7">
        <v>790</v>
      </c>
      <c r="D31" s="7">
        <v>820</v>
      </c>
      <c r="E31" s="7">
        <v>820</v>
      </c>
      <c r="F31" s="7">
        <v>3</v>
      </c>
      <c r="G31" s="4">
        <f t="shared" si="0"/>
        <v>2460</v>
      </c>
      <c r="H31" s="4" t="s">
        <v>82</v>
      </c>
      <c r="I31" s="4">
        <v>1</v>
      </c>
      <c r="J31" s="5">
        <v>87</v>
      </c>
      <c r="K31" s="4">
        <f t="shared" si="1"/>
        <v>87</v>
      </c>
      <c r="L31" s="4">
        <f t="shared" si="2"/>
        <v>2547</v>
      </c>
    </row>
    <row r="32" ht="18" customHeight="1" spans="1:12">
      <c r="A32" s="4">
        <v>30</v>
      </c>
      <c r="B32" s="4" t="s">
        <v>210</v>
      </c>
      <c r="C32" s="7">
        <v>533</v>
      </c>
      <c r="D32" s="7">
        <v>580</v>
      </c>
      <c r="E32" s="7">
        <v>580</v>
      </c>
      <c r="F32" s="7">
        <v>3</v>
      </c>
      <c r="G32" s="4">
        <f t="shared" si="0"/>
        <v>1740</v>
      </c>
      <c r="H32" s="4" t="s">
        <v>84</v>
      </c>
      <c r="I32" s="4">
        <v>0</v>
      </c>
      <c r="J32" s="5">
        <v>90</v>
      </c>
      <c r="K32" s="4">
        <f t="shared" si="1"/>
        <v>0</v>
      </c>
      <c r="L32" s="4">
        <f t="shared" si="2"/>
        <v>1740</v>
      </c>
    </row>
    <row r="33" ht="18" customHeight="1" spans="1:12">
      <c r="A33" s="4">
        <v>31</v>
      </c>
      <c r="B33" s="4" t="s">
        <v>211</v>
      </c>
      <c r="C33" s="7">
        <v>458</v>
      </c>
      <c r="D33" s="7">
        <v>450</v>
      </c>
      <c r="E33" s="7">
        <v>450</v>
      </c>
      <c r="F33" s="7">
        <v>3</v>
      </c>
      <c r="G33" s="4">
        <f t="shared" si="0"/>
        <v>1350</v>
      </c>
      <c r="H33" s="4" t="s">
        <v>86</v>
      </c>
      <c r="I33" s="4">
        <v>0</v>
      </c>
      <c r="J33" s="5">
        <v>93</v>
      </c>
      <c r="K33" s="4">
        <f t="shared" si="1"/>
        <v>0</v>
      </c>
      <c r="L33" s="4">
        <f t="shared" si="2"/>
        <v>1350</v>
      </c>
    </row>
    <row r="34" ht="18" customHeight="1" spans="1:12">
      <c r="A34" s="4" t="s">
        <v>87</v>
      </c>
      <c r="B34" s="8"/>
      <c r="C34" s="7">
        <f>SUM(C3:C33)</f>
        <v>22453</v>
      </c>
      <c r="D34" s="7">
        <f>SUM(D3:D33)</f>
        <v>22540</v>
      </c>
      <c r="E34" s="7">
        <f>SUM(E3:E33)</f>
        <v>22540</v>
      </c>
      <c r="F34" s="7">
        <v>3</v>
      </c>
      <c r="G34" s="4">
        <f t="shared" si="0"/>
        <v>67620</v>
      </c>
      <c r="H34" s="7"/>
      <c r="I34" s="7"/>
      <c r="J34" s="8"/>
      <c r="K34" s="4">
        <f>SUM(K3:K33)</f>
        <v>13848</v>
      </c>
      <c r="L34" s="4">
        <f t="shared" si="2"/>
        <v>81468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3" workbookViewId="0">
      <selection activeCell="I3" sqref="I3:I32"/>
    </sheetView>
  </sheetViews>
  <sheetFormatPr defaultColWidth="9" defaultRowHeight="13.5"/>
  <cols>
    <col min="1" max="1" width="8.5" customWidth="1"/>
    <col min="2" max="7" width="16.625" customWidth="1"/>
    <col min="8" max="8" width="9" customWidth="1"/>
    <col min="9" max="9" width="9.75833333333333" customWidth="1"/>
    <col min="10" max="10" width="8.125" customWidth="1"/>
    <col min="11" max="11" width="22" customWidth="1"/>
    <col min="12" max="12" width="18.625" customWidth="1"/>
  </cols>
  <sheetData>
    <row r="1" ht="36" customHeight="1" spans="1:12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213</v>
      </c>
      <c r="C3" s="4">
        <v>855</v>
      </c>
      <c r="D3" s="4">
        <v>829</v>
      </c>
      <c r="E3" s="4">
        <v>829</v>
      </c>
      <c r="F3" s="4">
        <v>3</v>
      </c>
      <c r="G3" s="4">
        <f t="shared" ref="G3:G33" si="0">E3*F3</f>
        <v>2487</v>
      </c>
      <c r="H3" s="4" t="s">
        <v>26</v>
      </c>
      <c r="I3" s="4">
        <v>1511</v>
      </c>
      <c r="J3" s="5">
        <v>3</v>
      </c>
      <c r="K3" s="4">
        <f>I3*J3</f>
        <v>4533</v>
      </c>
      <c r="L3" s="4">
        <f>G3+K3</f>
        <v>7020</v>
      </c>
    </row>
    <row r="4" ht="18" customHeight="1" spans="1:12">
      <c r="A4" s="4">
        <v>2</v>
      </c>
      <c r="B4" s="4" t="s">
        <v>214</v>
      </c>
      <c r="C4" s="4">
        <v>847</v>
      </c>
      <c r="D4" s="4">
        <v>835</v>
      </c>
      <c r="E4" s="4">
        <v>835</v>
      </c>
      <c r="F4" s="7">
        <v>3</v>
      </c>
      <c r="G4" s="4">
        <f t="shared" si="0"/>
        <v>2505</v>
      </c>
      <c r="H4" s="4" t="s">
        <v>28</v>
      </c>
      <c r="I4" s="4">
        <v>328</v>
      </c>
      <c r="J4" s="5">
        <v>6</v>
      </c>
      <c r="K4" s="4">
        <f t="shared" ref="K4:K32" si="1">I4*J4</f>
        <v>1968</v>
      </c>
      <c r="L4" s="4">
        <f t="shared" ref="L4:L33" si="2">G4+K4</f>
        <v>4473</v>
      </c>
    </row>
    <row r="5" ht="18" customHeight="1" spans="1:12">
      <c r="A5" s="4">
        <v>3</v>
      </c>
      <c r="B5" s="4" t="s">
        <v>215</v>
      </c>
      <c r="C5" s="4">
        <v>829</v>
      </c>
      <c r="D5" s="4">
        <v>841</v>
      </c>
      <c r="E5" s="4">
        <v>841</v>
      </c>
      <c r="F5" s="7">
        <v>3</v>
      </c>
      <c r="G5" s="4">
        <f t="shared" si="0"/>
        <v>2523</v>
      </c>
      <c r="H5" s="4" t="s">
        <v>30</v>
      </c>
      <c r="I5" s="4">
        <v>152</v>
      </c>
      <c r="J5" s="5">
        <v>9</v>
      </c>
      <c r="K5" s="4">
        <f t="shared" si="1"/>
        <v>1368</v>
      </c>
      <c r="L5" s="4">
        <f t="shared" si="2"/>
        <v>3891</v>
      </c>
    </row>
    <row r="6" ht="18" customHeight="1" spans="1:12">
      <c r="A6" s="4">
        <v>4</v>
      </c>
      <c r="B6" s="4" t="s">
        <v>216</v>
      </c>
      <c r="C6" s="4">
        <v>845</v>
      </c>
      <c r="D6" s="4">
        <v>842</v>
      </c>
      <c r="E6" s="4">
        <v>842</v>
      </c>
      <c r="F6" s="7">
        <v>3</v>
      </c>
      <c r="G6" s="4">
        <f t="shared" si="0"/>
        <v>2526</v>
      </c>
      <c r="H6" s="4" t="s">
        <v>32</v>
      </c>
      <c r="I6" s="4">
        <v>92</v>
      </c>
      <c r="J6" s="5">
        <v>12</v>
      </c>
      <c r="K6" s="4">
        <f t="shared" si="1"/>
        <v>1104</v>
      </c>
      <c r="L6" s="4">
        <f t="shared" si="2"/>
        <v>3630</v>
      </c>
    </row>
    <row r="7" ht="18" customHeight="1" spans="1:12">
      <c r="A7" s="4">
        <v>5</v>
      </c>
      <c r="B7" s="4" t="s">
        <v>217</v>
      </c>
      <c r="C7" s="4">
        <v>827</v>
      </c>
      <c r="D7" s="4">
        <v>849</v>
      </c>
      <c r="E7" s="4">
        <v>849</v>
      </c>
      <c r="F7" s="7">
        <v>3</v>
      </c>
      <c r="G7" s="4">
        <f t="shared" si="0"/>
        <v>2547</v>
      </c>
      <c r="H7" s="4" t="s">
        <v>34</v>
      </c>
      <c r="I7" s="4">
        <v>50</v>
      </c>
      <c r="J7" s="5">
        <v>15</v>
      </c>
      <c r="K7" s="4">
        <f t="shared" si="1"/>
        <v>750</v>
      </c>
      <c r="L7" s="4">
        <f t="shared" si="2"/>
        <v>3297</v>
      </c>
    </row>
    <row r="8" ht="18" customHeight="1" spans="1:12">
      <c r="A8" s="4">
        <v>6</v>
      </c>
      <c r="B8" s="4" t="s">
        <v>218</v>
      </c>
      <c r="C8" s="7">
        <v>502</v>
      </c>
      <c r="D8" s="7">
        <v>525</v>
      </c>
      <c r="E8" s="7">
        <v>525</v>
      </c>
      <c r="F8" s="7">
        <v>3</v>
      </c>
      <c r="G8" s="4">
        <f t="shared" si="0"/>
        <v>1575</v>
      </c>
      <c r="H8" s="4" t="s">
        <v>36</v>
      </c>
      <c r="I8" s="4">
        <v>36</v>
      </c>
      <c r="J8" s="5">
        <v>18</v>
      </c>
      <c r="K8" s="4">
        <f t="shared" si="1"/>
        <v>648</v>
      </c>
      <c r="L8" s="4">
        <f t="shared" si="2"/>
        <v>2223</v>
      </c>
    </row>
    <row r="9" ht="18" customHeight="1" spans="1:12">
      <c r="A9" s="4">
        <v>7</v>
      </c>
      <c r="B9" s="4" t="s">
        <v>219</v>
      </c>
      <c r="C9" s="7">
        <v>475</v>
      </c>
      <c r="D9" s="7">
        <v>471</v>
      </c>
      <c r="E9" s="7">
        <v>471</v>
      </c>
      <c r="F9" s="7">
        <v>3</v>
      </c>
      <c r="G9" s="4">
        <f t="shared" si="0"/>
        <v>1413</v>
      </c>
      <c r="H9" s="4" t="s">
        <v>38</v>
      </c>
      <c r="I9" s="4">
        <v>23</v>
      </c>
      <c r="J9" s="5">
        <v>21</v>
      </c>
      <c r="K9" s="4">
        <f t="shared" si="1"/>
        <v>483</v>
      </c>
      <c r="L9" s="4">
        <f t="shared" si="2"/>
        <v>1896</v>
      </c>
    </row>
    <row r="10" ht="18" customHeight="1" spans="1:12">
      <c r="A10" s="4">
        <v>8</v>
      </c>
      <c r="B10" s="4" t="s">
        <v>220</v>
      </c>
      <c r="C10" s="7">
        <v>860</v>
      </c>
      <c r="D10" s="7">
        <v>839</v>
      </c>
      <c r="E10" s="7">
        <v>839</v>
      </c>
      <c r="F10" s="7">
        <v>3</v>
      </c>
      <c r="G10" s="4">
        <f t="shared" si="0"/>
        <v>2517</v>
      </c>
      <c r="H10" s="4" t="s">
        <v>40</v>
      </c>
      <c r="I10" s="4">
        <v>15</v>
      </c>
      <c r="J10" s="5">
        <v>24</v>
      </c>
      <c r="K10" s="4">
        <f t="shared" si="1"/>
        <v>360</v>
      </c>
      <c r="L10" s="4">
        <f t="shared" si="2"/>
        <v>2877</v>
      </c>
    </row>
    <row r="11" ht="18" customHeight="1" spans="1:12">
      <c r="A11" s="4">
        <v>9</v>
      </c>
      <c r="B11" s="4" t="s">
        <v>221</v>
      </c>
      <c r="C11" s="7">
        <v>827</v>
      </c>
      <c r="D11" s="7">
        <v>828</v>
      </c>
      <c r="E11" s="7">
        <v>828</v>
      </c>
      <c r="F11" s="7">
        <v>3</v>
      </c>
      <c r="G11" s="4">
        <f t="shared" si="0"/>
        <v>2484</v>
      </c>
      <c r="H11" s="4" t="s">
        <v>42</v>
      </c>
      <c r="I11" s="4">
        <v>5</v>
      </c>
      <c r="J11" s="5">
        <v>27</v>
      </c>
      <c r="K11" s="4">
        <f t="shared" si="1"/>
        <v>135</v>
      </c>
      <c r="L11" s="4">
        <f t="shared" si="2"/>
        <v>2619</v>
      </c>
    </row>
    <row r="12" ht="18" customHeight="1" spans="1:12">
      <c r="A12" s="4">
        <v>10</v>
      </c>
      <c r="B12" s="4" t="s">
        <v>222</v>
      </c>
      <c r="C12" s="7">
        <v>864</v>
      </c>
      <c r="D12" s="7">
        <v>858</v>
      </c>
      <c r="E12" s="7">
        <v>858</v>
      </c>
      <c r="F12" s="7">
        <v>3</v>
      </c>
      <c r="G12" s="4">
        <f t="shared" si="0"/>
        <v>2574</v>
      </c>
      <c r="H12" s="4" t="s">
        <v>44</v>
      </c>
      <c r="I12" s="4">
        <v>9</v>
      </c>
      <c r="J12" s="5">
        <v>30</v>
      </c>
      <c r="K12" s="4">
        <f t="shared" si="1"/>
        <v>270</v>
      </c>
      <c r="L12" s="4">
        <f t="shared" si="2"/>
        <v>2844</v>
      </c>
    </row>
    <row r="13" ht="18" customHeight="1" spans="1:12">
      <c r="A13" s="4">
        <v>11</v>
      </c>
      <c r="B13" s="4" t="s">
        <v>223</v>
      </c>
      <c r="C13" s="7">
        <v>886</v>
      </c>
      <c r="D13" s="7">
        <v>878</v>
      </c>
      <c r="E13" s="7">
        <v>878</v>
      </c>
      <c r="F13" s="7">
        <v>3</v>
      </c>
      <c r="G13" s="4">
        <f t="shared" si="0"/>
        <v>2634</v>
      </c>
      <c r="H13" s="4" t="s">
        <v>46</v>
      </c>
      <c r="I13" s="4">
        <v>8</v>
      </c>
      <c r="J13" s="5">
        <v>33</v>
      </c>
      <c r="K13" s="4">
        <f t="shared" si="1"/>
        <v>264</v>
      </c>
      <c r="L13" s="4">
        <f t="shared" si="2"/>
        <v>2898</v>
      </c>
    </row>
    <row r="14" ht="18" customHeight="1" spans="1:12">
      <c r="A14" s="4">
        <v>12</v>
      </c>
      <c r="B14" s="4" t="s">
        <v>224</v>
      </c>
      <c r="C14" s="7">
        <v>831</v>
      </c>
      <c r="D14" s="7">
        <v>836</v>
      </c>
      <c r="E14" s="7">
        <v>836</v>
      </c>
      <c r="F14" s="7">
        <v>3</v>
      </c>
      <c r="G14" s="4">
        <f t="shared" si="0"/>
        <v>2508</v>
      </c>
      <c r="H14" s="4" t="s">
        <v>48</v>
      </c>
      <c r="I14" s="4">
        <v>4</v>
      </c>
      <c r="J14" s="5">
        <v>36</v>
      </c>
      <c r="K14" s="4">
        <f t="shared" si="1"/>
        <v>144</v>
      </c>
      <c r="L14" s="4">
        <f t="shared" si="2"/>
        <v>2652</v>
      </c>
    </row>
    <row r="15" ht="18" customHeight="1" spans="1:12">
      <c r="A15" s="4">
        <v>13</v>
      </c>
      <c r="B15" s="4" t="s">
        <v>225</v>
      </c>
      <c r="C15" s="7">
        <v>484</v>
      </c>
      <c r="D15" s="7">
        <v>510</v>
      </c>
      <c r="E15" s="7">
        <v>510</v>
      </c>
      <c r="F15" s="7">
        <v>3</v>
      </c>
      <c r="G15" s="4">
        <f t="shared" si="0"/>
        <v>1530</v>
      </c>
      <c r="H15" s="4" t="s">
        <v>50</v>
      </c>
      <c r="I15" s="4">
        <v>7</v>
      </c>
      <c r="J15" s="5">
        <v>39</v>
      </c>
      <c r="K15" s="4">
        <f t="shared" si="1"/>
        <v>273</v>
      </c>
      <c r="L15" s="4">
        <f t="shared" si="2"/>
        <v>1803</v>
      </c>
    </row>
    <row r="16" ht="18" customHeight="1" spans="1:12">
      <c r="A16" s="4">
        <v>14</v>
      </c>
      <c r="B16" s="4" t="s">
        <v>226</v>
      </c>
      <c r="C16" s="7">
        <v>497</v>
      </c>
      <c r="D16" s="7">
        <v>497</v>
      </c>
      <c r="E16" s="7">
        <v>497</v>
      </c>
      <c r="F16" s="7">
        <v>3</v>
      </c>
      <c r="G16" s="4">
        <f t="shared" si="0"/>
        <v>1491</v>
      </c>
      <c r="H16" s="4" t="s">
        <v>52</v>
      </c>
      <c r="I16" s="4">
        <v>1</v>
      </c>
      <c r="J16" s="5">
        <v>42</v>
      </c>
      <c r="K16" s="4">
        <f t="shared" si="1"/>
        <v>42</v>
      </c>
      <c r="L16" s="4">
        <f t="shared" si="2"/>
        <v>1533</v>
      </c>
    </row>
    <row r="17" ht="18" customHeight="1" spans="1:12">
      <c r="A17" s="4">
        <v>15</v>
      </c>
      <c r="B17" s="4" t="s">
        <v>227</v>
      </c>
      <c r="C17" s="7">
        <v>901</v>
      </c>
      <c r="D17" s="7">
        <v>877</v>
      </c>
      <c r="E17" s="7">
        <v>877</v>
      </c>
      <c r="F17" s="7">
        <v>3</v>
      </c>
      <c r="G17" s="4">
        <f t="shared" si="0"/>
        <v>2631</v>
      </c>
      <c r="H17" s="4" t="s">
        <v>54</v>
      </c>
      <c r="I17" s="4">
        <v>1</v>
      </c>
      <c r="J17" s="5">
        <v>45</v>
      </c>
      <c r="K17" s="4">
        <f t="shared" si="1"/>
        <v>45</v>
      </c>
      <c r="L17" s="4">
        <f t="shared" si="2"/>
        <v>2676</v>
      </c>
    </row>
    <row r="18" ht="18" customHeight="1" spans="1:12">
      <c r="A18" s="4">
        <v>16</v>
      </c>
      <c r="B18" s="4" t="s">
        <v>228</v>
      </c>
      <c r="C18" s="7">
        <v>875</v>
      </c>
      <c r="D18" s="7">
        <v>865</v>
      </c>
      <c r="E18" s="7">
        <v>865</v>
      </c>
      <c r="F18" s="7">
        <v>3</v>
      </c>
      <c r="G18" s="4">
        <f t="shared" si="0"/>
        <v>2595</v>
      </c>
      <c r="H18" s="4" t="s">
        <v>56</v>
      </c>
      <c r="I18" s="4">
        <v>1</v>
      </c>
      <c r="J18" s="5">
        <v>48</v>
      </c>
      <c r="K18" s="4">
        <f t="shared" si="1"/>
        <v>48</v>
      </c>
      <c r="L18" s="4">
        <f t="shared" si="2"/>
        <v>2643</v>
      </c>
    </row>
    <row r="19" ht="18" customHeight="1" spans="1:12">
      <c r="A19" s="4">
        <v>17</v>
      </c>
      <c r="B19" s="4" t="s">
        <v>229</v>
      </c>
      <c r="C19" s="7">
        <v>863</v>
      </c>
      <c r="D19" s="7">
        <v>865</v>
      </c>
      <c r="E19" s="7">
        <v>865</v>
      </c>
      <c r="F19" s="7">
        <v>3</v>
      </c>
      <c r="G19" s="4">
        <f t="shared" si="0"/>
        <v>2595</v>
      </c>
      <c r="H19" s="4" t="s">
        <v>58</v>
      </c>
      <c r="I19" s="4">
        <v>0</v>
      </c>
      <c r="J19" s="5">
        <v>51</v>
      </c>
      <c r="K19" s="4">
        <f t="shared" si="1"/>
        <v>0</v>
      </c>
      <c r="L19" s="4">
        <f t="shared" si="2"/>
        <v>2595</v>
      </c>
    </row>
    <row r="20" ht="18" customHeight="1" spans="1:12">
      <c r="A20" s="4">
        <v>18</v>
      </c>
      <c r="B20" s="4" t="s">
        <v>230</v>
      </c>
      <c r="C20" s="7">
        <v>876</v>
      </c>
      <c r="D20" s="7">
        <v>883</v>
      </c>
      <c r="E20" s="7">
        <v>883</v>
      </c>
      <c r="F20" s="7">
        <v>3</v>
      </c>
      <c r="G20" s="4">
        <f t="shared" si="0"/>
        <v>2649</v>
      </c>
      <c r="H20" s="4" t="s">
        <v>60</v>
      </c>
      <c r="I20" s="4">
        <v>1</v>
      </c>
      <c r="J20" s="5">
        <v>54</v>
      </c>
      <c r="K20" s="4">
        <f t="shared" si="1"/>
        <v>54</v>
      </c>
      <c r="L20" s="4">
        <f t="shared" si="2"/>
        <v>2703</v>
      </c>
    </row>
    <row r="21" ht="18" customHeight="1" spans="1:12">
      <c r="A21" s="4">
        <v>19</v>
      </c>
      <c r="B21" s="4" t="s">
        <v>231</v>
      </c>
      <c r="C21" s="7">
        <v>472</v>
      </c>
      <c r="D21" s="7">
        <v>510</v>
      </c>
      <c r="E21" s="7">
        <v>510</v>
      </c>
      <c r="F21" s="7">
        <v>3</v>
      </c>
      <c r="G21" s="4">
        <f t="shared" si="0"/>
        <v>1530</v>
      </c>
      <c r="H21" s="4" t="s">
        <v>62</v>
      </c>
      <c r="I21" s="4">
        <v>1</v>
      </c>
      <c r="J21" s="5">
        <v>57</v>
      </c>
      <c r="K21" s="4">
        <f t="shared" si="1"/>
        <v>57</v>
      </c>
      <c r="L21" s="4">
        <f t="shared" si="2"/>
        <v>1587</v>
      </c>
    </row>
    <row r="22" ht="18" customHeight="1" spans="1:12">
      <c r="A22" s="4">
        <v>20</v>
      </c>
      <c r="B22" s="4" t="s">
        <v>232</v>
      </c>
      <c r="C22" s="7">
        <v>412</v>
      </c>
      <c r="D22" s="7">
        <v>423</v>
      </c>
      <c r="E22" s="7">
        <v>423</v>
      </c>
      <c r="F22" s="7">
        <v>3</v>
      </c>
      <c r="G22" s="4">
        <f t="shared" si="0"/>
        <v>1269</v>
      </c>
      <c r="H22" s="4" t="s">
        <v>64</v>
      </c>
      <c r="I22" s="4">
        <v>2</v>
      </c>
      <c r="J22" s="5">
        <v>60</v>
      </c>
      <c r="K22" s="4">
        <f t="shared" si="1"/>
        <v>120</v>
      </c>
      <c r="L22" s="4">
        <f t="shared" si="2"/>
        <v>1389</v>
      </c>
    </row>
    <row r="23" ht="18" customHeight="1" spans="1:12">
      <c r="A23" s="4">
        <v>21</v>
      </c>
      <c r="B23" s="4" t="s">
        <v>233</v>
      </c>
      <c r="C23" s="7">
        <v>459</v>
      </c>
      <c r="D23" s="7">
        <v>449</v>
      </c>
      <c r="E23" s="7">
        <v>449</v>
      </c>
      <c r="F23" s="7">
        <v>3</v>
      </c>
      <c r="G23" s="4">
        <f t="shared" si="0"/>
        <v>1347</v>
      </c>
      <c r="H23" s="4" t="s">
        <v>66</v>
      </c>
      <c r="I23" s="4">
        <v>1</v>
      </c>
      <c r="J23" s="5">
        <v>63</v>
      </c>
      <c r="K23" s="4">
        <f t="shared" si="1"/>
        <v>63</v>
      </c>
      <c r="L23" s="4">
        <f t="shared" si="2"/>
        <v>1410</v>
      </c>
    </row>
    <row r="24" ht="18" customHeight="1" spans="1:12">
      <c r="A24" s="4">
        <v>22</v>
      </c>
      <c r="B24" s="4" t="s">
        <v>234</v>
      </c>
      <c r="C24" s="7">
        <v>919</v>
      </c>
      <c r="D24" s="7">
        <v>897</v>
      </c>
      <c r="E24" s="7">
        <v>897</v>
      </c>
      <c r="F24" s="7">
        <v>3</v>
      </c>
      <c r="G24" s="4">
        <f t="shared" si="0"/>
        <v>2691</v>
      </c>
      <c r="H24" s="4" t="s">
        <v>68</v>
      </c>
      <c r="I24" s="4">
        <v>3</v>
      </c>
      <c r="J24" s="5">
        <v>66</v>
      </c>
      <c r="K24" s="4">
        <f t="shared" si="1"/>
        <v>198</v>
      </c>
      <c r="L24" s="4">
        <f t="shared" si="2"/>
        <v>2889</v>
      </c>
    </row>
    <row r="25" ht="18" customHeight="1" spans="1:12">
      <c r="A25" s="4">
        <v>23</v>
      </c>
      <c r="B25" s="4" t="s">
        <v>235</v>
      </c>
      <c r="C25" s="7">
        <v>883</v>
      </c>
      <c r="D25" s="7">
        <v>870</v>
      </c>
      <c r="E25" s="7">
        <v>870</v>
      </c>
      <c r="F25" s="7">
        <v>3</v>
      </c>
      <c r="G25" s="4">
        <f t="shared" si="0"/>
        <v>2610</v>
      </c>
      <c r="H25" s="4" t="s">
        <v>70</v>
      </c>
      <c r="I25" s="4">
        <v>0</v>
      </c>
      <c r="J25" s="5">
        <v>69</v>
      </c>
      <c r="K25" s="4">
        <f t="shared" si="1"/>
        <v>0</v>
      </c>
      <c r="L25" s="4">
        <f t="shared" si="2"/>
        <v>2610</v>
      </c>
    </row>
    <row r="26" ht="18" customHeight="1" spans="1:12">
      <c r="A26" s="4">
        <v>24</v>
      </c>
      <c r="B26" s="4" t="s">
        <v>236</v>
      </c>
      <c r="C26" s="7">
        <v>843</v>
      </c>
      <c r="D26" s="7">
        <v>862</v>
      </c>
      <c r="E26" s="7">
        <v>862</v>
      </c>
      <c r="F26" s="7">
        <v>3</v>
      </c>
      <c r="G26" s="4">
        <f t="shared" si="0"/>
        <v>2586</v>
      </c>
      <c r="H26" s="4" t="s">
        <v>72</v>
      </c>
      <c r="I26" s="4">
        <v>0</v>
      </c>
      <c r="J26" s="5">
        <v>72</v>
      </c>
      <c r="K26" s="4">
        <f t="shared" si="1"/>
        <v>0</v>
      </c>
      <c r="L26" s="4">
        <f t="shared" si="2"/>
        <v>2586</v>
      </c>
    </row>
    <row r="27" ht="18" customHeight="1" spans="1:12">
      <c r="A27" s="4">
        <v>25</v>
      </c>
      <c r="B27" s="4" t="s">
        <v>237</v>
      </c>
      <c r="C27" s="7">
        <v>870</v>
      </c>
      <c r="D27" s="7">
        <v>853</v>
      </c>
      <c r="E27" s="7">
        <v>853</v>
      </c>
      <c r="F27" s="7">
        <v>3</v>
      </c>
      <c r="G27" s="4">
        <f t="shared" si="0"/>
        <v>2559</v>
      </c>
      <c r="H27" s="4" t="s">
        <v>74</v>
      </c>
      <c r="I27" s="4">
        <v>1</v>
      </c>
      <c r="J27" s="5">
        <v>75</v>
      </c>
      <c r="K27" s="4">
        <f t="shared" si="1"/>
        <v>75</v>
      </c>
      <c r="L27" s="4">
        <f t="shared" si="2"/>
        <v>2634</v>
      </c>
    </row>
    <row r="28" ht="18" customHeight="1" spans="1:12">
      <c r="A28" s="4">
        <v>26</v>
      </c>
      <c r="B28" s="4" t="s">
        <v>238</v>
      </c>
      <c r="C28" s="7">
        <v>843</v>
      </c>
      <c r="D28" s="7">
        <v>873</v>
      </c>
      <c r="E28" s="7">
        <v>873</v>
      </c>
      <c r="F28" s="7">
        <v>3</v>
      </c>
      <c r="G28" s="4">
        <f t="shared" si="0"/>
        <v>2619</v>
      </c>
      <c r="H28" s="4" t="s">
        <v>76</v>
      </c>
      <c r="I28" s="4">
        <v>0</v>
      </c>
      <c r="J28" s="5">
        <v>78</v>
      </c>
      <c r="K28" s="4">
        <f t="shared" si="1"/>
        <v>0</v>
      </c>
      <c r="L28" s="4">
        <f t="shared" si="2"/>
        <v>2619</v>
      </c>
    </row>
    <row r="29" ht="18" customHeight="1" spans="1:12">
      <c r="A29" s="4">
        <v>27</v>
      </c>
      <c r="B29" s="4" t="s">
        <v>239</v>
      </c>
      <c r="C29" s="7">
        <v>554</v>
      </c>
      <c r="D29" s="7">
        <v>550</v>
      </c>
      <c r="E29" s="7">
        <v>550</v>
      </c>
      <c r="F29" s="7">
        <v>3</v>
      </c>
      <c r="G29" s="4">
        <f t="shared" si="0"/>
        <v>1650</v>
      </c>
      <c r="H29" s="4" t="s">
        <v>78</v>
      </c>
      <c r="I29" s="4">
        <v>0</v>
      </c>
      <c r="J29" s="5">
        <v>81</v>
      </c>
      <c r="K29" s="4">
        <f t="shared" si="1"/>
        <v>0</v>
      </c>
      <c r="L29" s="4">
        <f t="shared" si="2"/>
        <v>1650</v>
      </c>
    </row>
    <row r="30" ht="18" customHeight="1" spans="1:12">
      <c r="A30" s="4">
        <v>28</v>
      </c>
      <c r="B30" s="4" t="s">
        <v>240</v>
      </c>
      <c r="C30" s="7">
        <v>538</v>
      </c>
      <c r="D30" s="7">
        <v>539</v>
      </c>
      <c r="E30" s="7">
        <v>539</v>
      </c>
      <c r="F30" s="7">
        <v>3</v>
      </c>
      <c r="G30" s="4">
        <f t="shared" si="0"/>
        <v>1617</v>
      </c>
      <c r="H30" s="4" t="s">
        <v>80</v>
      </c>
      <c r="I30" s="4">
        <v>1</v>
      </c>
      <c r="J30" s="5">
        <v>84</v>
      </c>
      <c r="K30" s="4">
        <f t="shared" si="1"/>
        <v>84</v>
      </c>
      <c r="L30" s="4">
        <f t="shared" si="2"/>
        <v>1701</v>
      </c>
    </row>
    <row r="31" ht="18" customHeight="1" spans="1:12">
      <c r="A31" s="4">
        <v>29</v>
      </c>
      <c r="B31" s="4" t="s">
        <v>241</v>
      </c>
      <c r="C31" s="7">
        <v>892</v>
      </c>
      <c r="D31" s="7">
        <v>875</v>
      </c>
      <c r="E31" s="7">
        <v>875</v>
      </c>
      <c r="F31" s="7">
        <v>3</v>
      </c>
      <c r="G31" s="4">
        <f t="shared" si="0"/>
        <v>2625</v>
      </c>
      <c r="H31" s="4" t="s">
        <v>82</v>
      </c>
      <c r="I31" s="4">
        <v>0</v>
      </c>
      <c r="J31" s="5">
        <v>87</v>
      </c>
      <c r="K31" s="4">
        <f t="shared" si="1"/>
        <v>0</v>
      </c>
      <c r="L31" s="4">
        <f t="shared" si="2"/>
        <v>2625</v>
      </c>
    </row>
    <row r="32" ht="18" customHeight="1" spans="1:12">
      <c r="A32" s="4">
        <v>30</v>
      </c>
      <c r="B32" s="4" t="s">
        <v>242</v>
      </c>
      <c r="C32" s="7">
        <v>901</v>
      </c>
      <c r="D32" s="7">
        <v>891</v>
      </c>
      <c r="E32" s="7">
        <v>891</v>
      </c>
      <c r="F32" s="7">
        <v>3</v>
      </c>
      <c r="G32" s="4">
        <f t="shared" si="0"/>
        <v>2673</v>
      </c>
      <c r="H32" s="4" t="s">
        <v>84</v>
      </c>
      <c r="I32" s="4">
        <v>2</v>
      </c>
      <c r="J32" s="5">
        <v>90</v>
      </c>
      <c r="K32" s="4">
        <f t="shared" si="1"/>
        <v>180</v>
      </c>
      <c r="L32" s="4">
        <f t="shared" si="2"/>
        <v>2853</v>
      </c>
    </row>
    <row r="33" ht="18" customHeight="1" spans="1:12">
      <c r="A33" s="4" t="s">
        <v>87</v>
      </c>
      <c r="B33" s="8"/>
      <c r="C33" s="7">
        <f>SUM(C3:C32)</f>
        <v>22530</v>
      </c>
      <c r="D33" s="7">
        <f>SUM(D3:D32)</f>
        <v>22520</v>
      </c>
      <c r="E33" s="7">
        <f>SUM(E3:E32)</f>
        <v>22520</v>
      </c>
      <c r="F33" s="7">
        <v>3</v>
      </c>
      <c r="G33" s="4">
        <f t="shared" si="0"/>
        <v>67560</v>
      </c>
      <c r="H33" s="7"/>
      <c r="I33" s="7"/>
      <c r="J33" s="8"/>
      <c r="K33" s="4">
        <f>SUM(K3:K32)</f>
        <v>13266</v>
      </c>
      <c r="L33" s="4">
        <f t="shared" si="2"/>
        <v>80826</v>
      </c>
    </row>
  </sheetData>
  <mergeCells count="3">
    <mergeCell ref="A1:L1"/>
    <mergeCell ref="H2:J2"/>
    <mergeCell ref="H33:J33"/>
  </mergeCells>
  <pageMargins left="0.75" right="0.75" top="1" bottom="1" header="0.5" footer="0.5"/>
  <pageSetup paperSize="3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C34" sqref="C34"/>
    </sheetView>
  </sheetViews>
  <sheetFormatPr defaultColWidth="9" defaultRowHeight="13.5"/>
  <cols>
    <col min="1" max="1" width="8.125" customWidth="1"/>
    <col min="2" max="7" width="16.625" customWidth="1"/>
    <col min="8" max="8" width="9.25833333333333" customWidth="1"/>
    <col min="9" max="9" width="9.75833333333333" customWidth="1"/>
    <col min="10" max="10" width="7.625" customWidth="1"/>
    <col min="11" max="11" width="23.2583333333333" customWidth="1"/>
    <col min="12" max="12" width="18.125" customWidth="1"/>
  </cols>
  <sheetData>
    <row r="1" ht="30" customHeight="1" spans="1:12">
      <c r="A1" s="1" t="s">
        <v>243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4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244</v>
      </c>
      <c r="C3" s="4">
        <v>877</v>
      </c>
      <c r="D3" s="4">
        <v>848</v>
      </c>
      <c r="E3" s="4">
        <v>848</v>
      </c>
      <c r="F3" s="4">
        <v>3</v>
      </c>
      <c r="G3" s="4">
        <f t="shared" ref="G3:G34" si="0">E3*F3</f>
        <v>2544</v>
      </c>
      <c r="H3" s="4" t="s">
        <v>26</v>
      </c>
      <c r="I3" s="4">
        <v>1652</v>
      </c>
      <c r="J3" s="5">
        <v>3</v>
      </c>
      <c r="K3" s="4">
        <f>I3*J3</f>
        <v>4956</v>
      </c>
      <c r="L3" s="4">
        <f>G3+K3</f>
        <v>7500</v>
      </c>
    </row>
    <row r="4" ht="18" customHeight="1" spans="1:12">
      <c r="A4" s="4">
        <v>2</v>
      </c>
      <c r="B4" s="4" t="s">
        <v>245</v>
      </c>
      <c r="C4" s="4">
        <v>830</v>
      </c>
      <c r="D4" s="4">
        <v>854</v>
      </c>
      <c r="E4" s="4">
        <v>854</v>
      </c>
      <c r="F4" s="7">
        <v>3</v>
      </c>
      <c r="G4" s="4">
        <f t="shared" si="0"/>
        <v>2562</v>
      </c>
      <c r="H4" s="4" t="s">
        <v>28</v>
      </c>
      <c r="I4" s="4">
        <v>382</v>
      </c>
      <c r="J4" s="5">
        <v>6</v>
      </c>
      <c r="K4" s="4">
        <f t="shared" ref="K4:K33" si="1">I4*J4</f>
        <v>2292</v>
      </c>
      <c r="L4" s="4">
        <f t="shared" ref="L4:L34" si="2">G4+K4</f>
        <v>4854</v>
      </c>
    </row>
    <row r="5" ht="18" customHeight="1" spans="1:12">
      <c r="A5" s="4">
        <v>3</v>
      </c>
      <c r="B5" s="4" t="s">
        <v>246</v>
      </c>
      <c r="C5" s="4">
        <v>755</v>
      </c>
      <c r="D5" s="4">
        <v>766</v>
      </c>
      <c r="E5" s="4">
        <v>766</v>
      </c>
      <c r="F5" s="7">
        <v>3</v>
      </c>
      <c r="G5" s="4">
        <f t="shared" si="0"/>
        <v>2298</v>
      </c>
      <c r="H5" s="4" t="s">
        <v>30</v>
      </c>
      <c r="I5" s="4">
        <v>175</v>
      </c>
      <c r="J5" s="5">
        <v>9</v>
      </c>
      <c r="K5" s="4">
        <f t="shared" si="1"/>
        <v>1575</v>
      </c>
      <c r="L5" s="4">
        <f t="shared" si="2"/>
        <v>3873</v>
      </c>
    </row>
    <row r="6" ht="18" customHeight="1" spans="1:12">
      <c r="A6" s="4">
        <v>4</v>
      </c>
      <c r="B6" s="4" t="s">
        <v>247</v>
      </c>
      <c r="C6" s="4">
        <v>448</v>
      </c>
      <c r="D6" s="4">
        <v>489</v>
      </c>
      <c r="E6" s="4">
        <v>489</v>
      </c>
      <c r="F6" s="7">
        <v>3</v>
      </c>
      <c r="G6" s="4">
        <f t="shared" si="0"/>
        <v>1467</v>
      </c>
      <c r="H6" s="4" t="s">
        <v>32</v>
      </c>
      <c r="I6" s="4">
        <v>106</v>
      </c>
      <c r="J6" s="5">
        <v>12</v>
      </c>
      <c r="K6" s="4">
        <f t="shared" si="1"/>
        <v>1272</v>
      </c>
      <c r="L6" s="4">
        <f t="shared" si="2"/>
        <v>2739</v>
      </c>
    </row>
    <row r="7" ht="18" customHeight="1" spans="1:12">
      <c r="A7" s="4">
        <v>5</v>
      </c>
      <c r="B7" s="4" t="s">
        <v>248</v>
      </c>
      <c r="C7" s="4">
        <v>476</v>
      </c>
      <c r="D7" s="4">
        <v>463</v>
      </c>
      <c r="E7" s="4">
        <v>463</v>
      </c>
      <c r="F7" s="7">
        <v>3</v>
      </c>
      <c r="G7" s="4">
        <f t="shared" si="0"/>
        <v>1389</v>
      </c>
      <c r="H7" s="4" t="s">
        <v>34</v>
      </c>
      <c r="I7" s="4">
        <v>67</v>
      </c>
      <c r="J7" s="5">
        <v>15</v>
      </c>
      <c r="K7" s="4">
        <f t="shared" si="1"/>
        <v>1005</v>
      </c>
      <c r="L7" s="4">
        <f t="shared" si="2"/>
        <v>2394</v>
      </c>
    </row>
    <row r="8" ht="18" customHeight="1" spans="1:12">
      <c r="A8" s="4">
        <v>6</v>
      </c>
      <c r="B8" s="4" t="s">
        <v>249</v>
      </c>
      <c r="C8" s="7">
        <v>914</v>
      </c>
      <c r="D8" s="7">
        <v>896</v>
      </c>
      <c r="E8" s="7">
        <v>896</v>
      </c>
      <c r="F8" s="7">
        <v>3</v>
      </c>
      <c r="G8" s="4">
        <f t="shared" si="0"/>
        <v>2688</v>
      </c>
      <c r="H8" s="4" t="s">
        <v>36</v>
      </c>
      <c r="I8" s="4">
        <v>37</v>
      </c>
      <c r="J8" s="5">
        <v>18</v>
      </c>
      <c r="K8" s="4">
        <f t="shared" si="1"/>
        <v>666</v>
      </c>
      <c r="L8" s="4">
        <f t="shared" si="2"/>
        <v>3354</v>
      </c>
    </row>
    <row r="9" ht="18" customHeight="1" spans="1:12">
      <c r="A9" s="4">
        <v>7</v>
      </c>
      <c r="B9" s="4" t="s">
        <v>250</v>
      </c>
      <c r="C9" s="7">
        <v>881</v>
      </c>
      <c r="D9" s="7">
        <v>884</v>
      </c>
      <c r="E9" s="7">
        <v>884</v>
      </c>
      <c r="F9" s="7">
        <v>3</v>
      </c>
      <c r="G9" s="4">
        <f t="shared" si="0"/>
        <v>2652</v>
      </c>
      <c r="H9" s="4" t="s">
        <v>38</v>
      </c>
      <c r="I9" s="4">
        <v>12</v>
      </c>
      <c r="J9" s="5">
        <v>21</v>
      </c>
      <c r="K9" s="4">
        <f t="shared" si="1"/>
        <v>252</v>
      </c>
      <c r="L9" s="4">
        <f t="shared" si="2"/>
        <v>2904</v>
      </c>
    </row>
    <row r="10" ht="18" customHeight="1" spans="1:12">
      <c r="A10" s="4">
        <v>8</v>
      </c>
      <c r="B10" s="4" t="s">
        <v>251</v>
      </c>
      <c r="C10" s="7">
        <v>883</v>
      </c>
      <c r="D10" s="7">
        <v>849</v>
      </c>
      <c r="E10" s="7">
        <v>849</v>
      </c>
      <c r="F10" s="7">
        <v>3</v>
      </c>
      <c r="G10" s="4">
        <f t="shared" si="0"/>
        <v>2547</v>
      </c>
      <c r="H10" s="4" t="s">
        <v>40</v>
      </c>
      <c r="I10" s="4">
        <v>13</v>
      </c>
      <c r="J10" s="5">
        <v>24</v>
      </c>
      <c r="K10" s="4">
        <f t="shared" si="1"/>
        <v>312</v>
      </c>
      <c r="L10" s="4">
        <f t="shared" si="2"/>
        <v>2859</v>
      </c>
    </row>
    <row r="11" ht="18" customHeight="1" spans="1:12">
      <c r="A11" s="4">
        <v>9</v>
      </c>
      <c r="B11" s="4" t="s">
        <v>252</v>
      </c>
      <c r="C11" s="7">
        <v>864</v>
      </c>
      <c r="D11" s="7">
        <v>875</v>
      </c>
      <c r="E11" s="7">
        <v>875</v>
      </c>
      <c r="F11" s="7">
        <v>3</v>
      </c>
      <c r="G11" s="4">
        <f t="shared" si="0"/>
        <v>2625</v>
      </c>
      <c r="H11" s="4" t="s">
        <v>42</v>
      </c>
      <c r="I11" s="4">
        <v>12</v>
      </c>
      <c r="J11" s="5">
        <v>27</v>
      </c>
      <c r="K11" s="4">
        <f t="shared" si="1"/>
        <v>324</v>
      </c>
      <c r="L11" s="4">
        <f t="shared" si="2"/>
        <v>2949</v>
      </c>
    </row>
    <row r="12" ht="18" customHeight="1" spans="1:12">
      <c r="A12" s="4">
        <v>10</v>
      </c>
      <c r="B12" s="4" t="s">
        <v>253</v>
      </c>
      <c r="C12" s="7">
        <v>861</v>
      </c>
      <c r="D12" s="7">
        <v>855</v>
      </c>
      <c r="E12" s="7">
        <v>855</v>
      </c>
      <c r="F12" s="7">
        <v>3</v>
      </c>
      <c r="G12" s="4">
        <f t="shared" si="0"/>
        <v>2565</v>
      </c>
      <c r="H12" s="4" t="s">
        <v>44</v>
      </c>
      <c r="I12" s="4">
        <v>9</v>
      </c>
      <c r="J12" s="5">
        <v>30</v>
      </c>
      <c r="K12" s="4">
        <f t="shared" si="1"/>
        <v>270</v>
      </c>
      <c r="L12" s="4">
        <f t="shared" si="2"/>
        <v>2835</v>
      </c>
    </row>
    <row r="13" ht="18" customHeight="1" spans="1:12">
      <c r="A13" s="4">
        <v>11</v>
      </c>
      <c r="B13" s="4" t="s">
        <v>254</v>
      </c>
      <c r="C13" s="7">
        <v>538</v>
      </c>
      <c r="D13" s="7">
        <v>593</v>
      </c>
      <c r="E13" s="7">
        <v>593</v>
      </c>
      <c r="F13" s="7">
        <v>3</v>
      </c>
      <c r="G13" s="4">
        <f t="shared" si="0"/>
        <v>1779</v>
      </c>
      <c r="H13" s="4" t="s">
        <v>46</v>
      </c>
      <c r="I13" s="4">
        <v>11</v>
      </c>
      <c r="J13" s="5">
        <v>33</v>
      </c>
      <c r="K13" s="4">
        <f t="shared" si="1"/>
        <v>363</v>
      </c>
      <c r="L13" s="4">
        <f t="shared" si="2"/>
        <v>2142</v>
      </c>
    </row>
    <row r="14" ht="18" customHeight="1" spans="1:12">
      <c r="A14" s="4">
        <v>12</v>
      </c>
      <c r="B14" s="4" t="s">
        <v>255</v>
      </c>
      <c r="C14" s="7">
        <v>496</v>
      </c>
      <c r="D14" s="7">
        <v>484</v>
      </c>
      <c r="E14" s="7">
        <v>484</v>
      </c>
      <c r="F14" s="7">
        <v>3</v>
      </c>
      <c r="G14" s="4">
        <f t="shared" si="0"/>
        <v>1452</v>
      </c>
      <c r="H14" s="4" t="s">
        <v>48</v>
      </c>
      <c r="I14" s="4">
        <v>7</v>
      </c>
      <c r="J14" s="5">
        <v>36</v>
      </c>
      <c r="K14" s="4">
        <f t="shared" si="1"/>
        <v>252</v>
      </c>
      <c r="L14" s="4">
        <f t="shared" si="2"/>
        <v>1704</v>
      </c>
    </row>
    <row r="15" ht="18" customHeight="1" spans="1:12">
      <c r="A15" s="4">
        <v>13</v>
      </c>
      <c r="B15" s="4" t="s">
        <v>256</v>
      </c>
      <c r="C15" s="7">
        <v>882</v>
      </c>
      <c r="D15" s="7">
        <v>862</v>
      </c>
      <c r="E15" s="7">
        <v>862</v>
      </c>
      <c r="F15" s="7">
        <v>3</v>
      </c>
      <c r="G15" s="4">
        <f t="shared" si="0"/>
        <v>2586</v>
      </c>
      <c r="H15" s="4" t="s">
        <v>50</v>
      </c>
      <c r="I15" s="4">
        <v>4</v>
      </c>
      <c r="J15" s="5">
        <v>39</v>
      </c>
      <c r="K15" s="4">
        <f t="shared" si="1"/>
        <v>156</v>
      </c>
      <c r="L15" s="4">
        <f t="shared" si="2"/>
        <v>2742</v>
      </c>
    </row>
    <row r="16" ht="18" customHeight="1" spans="1:12">
      <c r="A16" s="4">
        <v>14</v>
      </c>
      <c r="B16" s="4" t="s">
        <v>257</v>
      </c>
      <c r="C16" s="7">
        <v>922</v>
      </c>
      <c r="D16" s="7">
        <v>891</v>
      </c>
      <c r="E16" s="7">
        <v>891</v>
      </c>
      <c r="F16" s="7">
        <v>3</v>
      </c>
      <c r="G16" s="4">
        <f t="shared" si="0"/>
        <v>2673</v>
      </c>
      <c r="H16" s="4" t="s">
        <v>52</v>
      </c>
      <c r="I16" s="4">
        <v>7</v>
      </c>
      <c r="J16" s="5">
        <v>42</v>
      </c>
      <c r="K16" s="4">
        <f t="shared" si="1"/>
        <v>294</v>
      </c>
      <c r="L16" s="4">
        <f t="shared" si="2"/>
        <v>2967</v>
      </c>
    </row>
    <row r="17" ht="18" customHeight="1" spans="1:12">
      <c r="A17" s="4">
        <v>15</v>
      </c>
      <c r="B17" s="4" t="s">
        <v>258</v>
      </c>
      <c r="C17" s="7">
        <v>936</v>
      </c>
      <c r="D17" s="7">
        <v>910</v>
      </c>
      <c r="E17" s="7">
        <v>910</v>
      </c>
      <c r="F17" s="7">
        <v>3</v>
      </c>
      <c r="G17" s="4">
        <f t="shared" si="0"/>
        <v>2730</v>
      </c>
      <c r="H17" s="4" t="s">
        <v>54</v>
      </c>
      <c r="I17" s="4">
        <v>3</v>
      </c>
      <c r="J17" s="5">
        <v>45</v>
      </c>
      <c r="K17" s="4">
        <f t="shared" si="1"/>
        <v>135</v>
      </c>
      <c r="L17" s="4">
        <f t="shared" si="2"/>
        <v>2865</v>
      </c>
    </row>
    <row r="18" ht="18" customHeight="1" spans="1:12">
      <c r="A18" s="4">
        <v>16</v>
      </c>
      <c r="B18" s="4" t="s">
        <v>259</v>
      </c>
      <c r="C18" s="7">
        <v>870</v>
      </c>
      <c r="D18" s="7">
        <v>860</v>
      </c>
      <c r="E18" s="7">
        <v>860</v>
      </c>
      <c r="F18" s="7">
        <v>3</v>
      </c>
      <c r="G18" s="4">
        <f t="shared" si="0"/>
        <v>2580</v>
      </c>
      <c r="H18" s="4" t="s">
        <v>56</v>
      </c>
      <c r="I18" s="4">
        <v>2</v>
      </c>
      <c r="J18" s="5">
        <v>48</v>
      </c>
      <c r="K18" s="4">
        <f t="shared" si="1"/>
        <v>96</v>
      </c>
      <c r="L18" s="4">
        <f t="shared" si="2"/>
        <v>2676</v>
      </c>
    </row>
    <row r="19" ht="18" customHeight="1" spans="1:12">
      <c r="A19" s="4">
        <v>17</v>
      </c>
      <c r="B19" s="4" t="s">
        <v>260</v>
      </c>
      <c r="C19" s="7">
        <v>849</v>
      </c>
      <c r="D19" s="7">
        <v>884</v>
      </c>
      <c r="E19" s="7">
        <v>884</v>
      </c>
      <c r="F19" s="7">
        <v>3</v>
      </c>
      <c r="G19" s="4">
        <f t="shared" si="0"/>
        <v>2652</v>
      </c>
      <c r="H19" s="4" t="s">
        <v>58</v>
      </c>
      <c r="I19" s="4">
        <v>3</v>
      </c>
      <c r="J19" s="5">
        <v>51</v>
      </c>
      <c r="K19" s="4">
        <f t="shared" si="1"/>
        <v>153</v>
      </c>
      <c r="L19" s="4">
        <f t="shared" si="2"/>
        <v>2805</v>
      </c>
    </row>
    <row r="20" ht="18" customHeight="1" spans="1:12">
      <c r="A20" s="4">
        <v>18</v>
      </c>
      <c r="B20" s="4" t="s">
        <v>261</v>
      </c>
      <c r="C20" s="7">
        <v>483</v>
      </c>
      <c r="D20" s="7">
        <v>501</v>
      </c>
      <c r="E20" s="7">
        <v>501</v>
      </c>
      <c r="F20" s="7">
        <v>3</v>
      </c>
      <c r="G20" s="4">
        <f t="shared" si="0"/>
        <v>1503</v>
      </c>
      <c r="H20" s="4" t="s">
        <v>60</v>
      </c>
      <c r="I20" s="4">
        <v>2</v>
      </c>
      <c r="J20" s="5">
        <v>54</v>
      </c>
      <c r="K20" s="4">
        <f t="shared" si="1"/>
        <v>108</v>
      </c>
      <c r="L20" s="4">
        <f t="shared" si="2"/>
        <v>1611</v>
      </c>
    </row>
    <row r="21" ht="18" customHeight="1" spans="1:12">
      <c r="A21" s="4">
        <v>19</v>
      </c>
      <c r="B21" s="4" t="s">
        <v>262</v>
      </c>
      <c r="C21" s="7">
        <v>478</v>
      </c>
      <c r="D21" s="7">
        <v>482</v>
      </c>
      <c r="E21" s="7">
        <v>482</v>
      </c>
      <c r="F21" s="7">
        <v>3</v>
      </c>
      <c r="G21" s="4">
        <f t="shared" si="0"/>
        <v>1446</v>
      </c>
      <c r="H21" s="4" t="s">
        <v>62</v>
      </c>
      <c r="I21" s="4">
        <v>5</v>
      </c>
      <c r="J21" s="5">
        <v>57</v>
      </c>
      <c r="K21" s="4">
        <f t="shared" si="1"/>
        <v>285</v>
      </c>
      <c r="L21" s="4">
        <f t="shared" si="2"/>
        <v>1731</v>
      </c>
    </row>
    <row r="22" ht="18" customHeight="1" spans="1:12">
      <c r="A22" s="4">
        <v>20</v>
      </c>
      <c r="B22" s="4" t="s">
        <v>263</v>
      </c>
      <c r="C22" s="7">
        <v>882</v>
      </c>
      <c r="D22" s="7">
        <v>857</v>
      </c>
      <c r="E22" s="7">
        <v>857</v>
      </c>
      <c r="F22" s="7">
        <v>3</v>
      </c>
      <c r="G22" s="4">
        <f t="shared" si="0"/>
        <v>2571</v>
      </c>
      <c r="H22" s="4" t="s">
        <v>64</v>
      </c>
      <c r="I22" s="4">
        <v>0</v>
      </c>
      <c r="J22" s="5">
        <v>60</v>
      </c>
      <c r="K22" s="4">
        <f t="shared" si="1"/>
        <v>0</v>
      </c>
      <c r="L22" s="4">
        <f t="shared" si="2"/>
        <v>2571</v>
      </c>
    </row>
    <row r="23" ht="18" customHeight="1" spans="1:12">
      <c r="A23" s="4">
        <v>21</v>
      </c>
      <c r="B23" s="4" t="s">
        <v>264</v>
      </c>
      <c r="C23" s="7">
        <v>868</v>
      </c>
      <c r="D23" s="7">
        <v>860</v>
      </c>
      <c r="E23" s="7">
        <v>860</v>
      </c>
      <c r="F23" s="7">
        <v>3</v>
      </c>
      <c r="G23" s="4">
        <f t="shared" si="0"/>
        <v>2580</v>
      </c>
      <c r="H23" s="4" t="s">
        <v>66</v>
      </c>
      <c r="I23" s="4">
        <v>0</v>
      </c>
      <c r="J23" s="5">
        <v>63</v>
      </c>
      <c r="K23" s="4">
        <f t="shared" si="1"/>
        <v>0</v>
      </c>
      <c r="L23" s="4">
        <f t="shared" si="2"/>
        <v>2580</v>
      </c>
    </row>
    <row r="24" ht="18" customHeight="1" spans="1:12">
      <c r="A24" s="4">
        <v>22</v>
      </c>
      <c r="B24" s="4" t="s">
        <v>265</v>
      </c>
      <c r="C24" s="7">
        <v>851</v>
      </c>
      <c r="D24" s="7">
        <v>843</v>
      </c>
      <c r="E24" s="7">
        <v>843</v>
      </c>
      <c r="F24" s="7">
        <v>3</v>
      </c>
      <c r="G24" s="4">
        <f t="shared" si="0"/>
        <v>2529</v>
      </c>
      <c r="H24" s="4" t="s">
        <v>68</v>
      </c>
      <c r="I24" s="4">
        <v>0</v>
      </c>
      <c r="J24" s="5">
        <v>66</v>
      </c>
      <c r="K24" s="4">
        <f t="shared" si="1"/>
        <v>0</v>
      </c>
      <c r="L24" s="4">
        <f t="shared" si="2"/>
        <v>2529</v>
      </c>
    </row>
    <row r="25" ht="18" customHeight="1" spans="1:12">
      <c r="A25" s="4">
        <v>23</v>
      </c>
      <c r="B25" s="4" t="s">
        <v>266</v>
      </c>
      <c r="C25" s="7">
        <v>841</v>
      </c>
      <c r="D25" s="7">
        <v>855</v>
      </c>
      <c r="E25" s="7">
        <v>855</v>
      </c>
      <c r="F25" s="7">
        <v>3</v>
      </c>
      <c r="G25" s="4">
        <f t="shared" si="0"/>
        <v>2565</v>
      </c>
      <c r="H25" s="4" t="s">
        <v>70</v>
      </c>
      <c r="I25" s="4">
        <v>0</v>
      </c>
      <c r="J25" s="5">
        <v>69</v>
      </c>
      <c r="K25" s="4">
        <f t="shared" si="1"/>
        <v>0</v>
      </c>
      <c r="L25" s="4">
        <f t="shared" si="2"/>
        <v>2565</v>
      </c>
    </row>
    <row r="26" ht="18" customHeight="1" spans="1:12">
      <c r="A26" s="4">
        <v>24</v>
      </c>
      <c r="B26" s="4" t="s">
        <v>267</v>
      </c>
      <c r="C26" s="7">
        <v>828</v>
      </c>
      <c r="D26" s="7">
        <v>859</v>
      </c>
      <c r="E26" s="7">
        <v>859</v>
      </c>
      <c r="F26" s="7">
        <v>3</v>
      </c>
      <c r="G26" s="4">
        <f t="shared" si="0"/>
        <v>2577</v>
      </c>
      <c r="H26" s="4" t="s">
        <v>72</v>
      </c>
      <c r="I26" s="4">
        <v>1</v>
      </c>
      <c r="J26" s="5">
        <v>72</v>
      </c>
      <c r="K26" s="4">
        <f t="shared" si="1"/>
        <v>72</v>
      </c>
      <c r="L26" s="4">
        <f t="shared" si="2"/>
        <v>2649</v>
      </c>
    </row>
    <row r="27" ht="18" customHeight="1" spans="1:12">
      <c r="A27" s="4">
        <v>25</v>
      </c>
      <c r="B27" s="4" t="s">
        <v>268</v>
      </c>
      <c r="C27" s="7">
        <v>533</v>
      </c>
      <c r="D27" s="7">
        <v>531</v>
      </c>
      <c r="E27" s="7">
        <v>531</v>
      </c>
      <c r="F27" s="7">
        <v>3</v>
      </c>
      <c r="G27" s="4">
        <f t="shared" si="0"/>
        <v>1593</v>
      </c>
      <c r="H27" s="4" t="s">
        <v>74</v>
      </c>
      <c r="I27" s="4">
        <v>2</v>
      </c>
      <c r="J27" s="5">
        <v>75</v>
      </c>
      <c r="K27" s="4">
        <f t="shared" si="1"/>
        <v>150</v>
      </c>
      <c r="L27" s="4">
        <f t="shared" si="2"/>
        <v>1743</v>
      </c>
    </row>
    <row r="28" ht="18" customHeight="1" spans="1:12">
      <c r="A28" s="4">
        <v>26</v>
      </c>
      <c r="B28" s="4" t="s">
        <v>269</v>
      </c>
      <c r="C28" s="7">
        <v>508</v>
      </c>
      <c r="D28" s="7">
        <v>522</v>
      </c>
      <c r="E28" s="7">
        <v>522</v>
      </c>
      <c r="F28" s="7">
        <v>3</v>
      </c>
      <c r="G28" s="4">
        <f t="shared" si="0"/>
        <v>1566</v>
      </c>
      <c r="H28" s="4" t="s">
        <v>76</v>
      </c>
      <c r="I28" s="4">
        <v>1</v>
      </c>
      <c r="J28" s="5">
        <v>78</v>
      </c>
      <c r="K28" s="4">
        <f t="shared" si="1"/>
        <v>78</v>
      </c>
      <c r="L28" s="4">
        <f t="shared" si="2"/>
        <v>1644</v>
      </c>
    </row>
    <row r="29" ht="18" customHeight="1" spans="1:12">
      <c r="A29" s="4">
        <v>27</v>
      </c>
      <c r="B29" s="4" t="s">
        <v>270</v>
      </c>
      <c r="C29" s="7">
        <v>886</v>
      </c>
      <c r="D29" s="7">
        <v>872</v>
      </c>
      <c r="E29" s="7">
        <v>872</v>
      </c>
      <c r="F29" s="7">
        <v>3</v>
      </c>
      <c r="G29" s="4">
        <f t="shared" si="0"/>
        <v>2616</v>
      </c>
      <c r="H29" s="4" t="s">
        <v>78</v>
      </c>
      <c r="I29" s="4">
        <v>1</v>
      </c>
      <c r="J29" s="5">
        <v>81</v>
      </c>
      <c r="K29" s="4">
        <f t="shared" si="1"/>
        <v>81</v>
      </c>
      <c r="L29" s="4">
        <f t="shared" si="2"/>
        <v>2697</v>
      </c>
    </row>
    <row r="30" ht="18" customHeight="1" spans="1:12">
      <c r="A30" s="4">
        <v>28</v>
      </c>
      <c r="B30" s="4" t="s">
        <v>271</v>
      </c>
      <c r="C30" s="7">
        <v>911</v>
      </c>
      <c r="D30" s="7">
        <v>890</v>
      </c>
      <c r="E30" s="7">
        <v>890</v>
      </c>
      <c r="F30" s="7">
        <v>3</v>
      </c>
      <c r="G30" s="4">
        <f t="shared" si="0"/>
        <v>2670</v>
      </c>
      <c r="H30" s="4" t="s">
        <v>80</v>
      </c>
      <c r="I30" s="4">
        <v>0</v>
      </c>
      <c r="J30" s="5">
        <v>84</v>
      </c>
      <c r="K30" s="4">
        <f t="shared" si="1"/>
        <v>0</v>
      </c>
      <c r="L30" s="4">
        <f t="shared" si="2"/>
        <v>2670</v>
      </c>
    </row>
    <row r="31" ht="18" customHeight="1" spans="1:12">
      <c r="A31" s="4">
        <v>29</v>
      </c>
      <c r="B31" s="4" t="s">
        <v>272</v>
      </c>
      <c r="C31" s="7">
        <v>868</v>
      </c>
      <c r="D31" s="7">
        <v>885</v>
      </c>
      <c r="E31" s="7">
        <v>885</v>
      </c>
      <c r="F31" s="7">
        <v>3</v>
      </c>
      <c r="G31" s="4">
        <f t="shared" si="0"/>
        <v>2655</v>
      </c>
      <c r="H31" s="4" t="s">
        <v>82</v>
      </c>
      <c r="I31" s="4">
        <v>1</v>
      </c>
      <c r="J31" s="5">
        <v>87</v>
      </c>
      <c r="K31" s="4">
        <f t="shared" si="1"/>
        <v>87</v>
      </c>
      <c r="L31" s="4">
        <f t="shared" si="2"/>
        <v>2742</v>
      </c>
    </row>
    <row r="32" ht="18" customHeight="1" spans="1:12">
      <c r="A32" s="4">
        <v>30</v>
      </c>
      <c r="B32" s="4" t="s">
        <v>273</v>
      </c>
      <c r="C32" s="7">
        <v>864</v>
      </c>
      <c r="D32" s="7">
        <v>868</v>
      </c>
      <c r="E32" s="7">
        <v>868</v>
      </c>
      <c r="F32" s="7">
        <v>3</v>
      </c>
      <c r="G32" s="4">
        <f t="shared" si="0"/>
        <v>2604</v>
      </c>
      <c r="H32" s="4" t="s">
        <v>84</v>
      </c>
      <c r="I32" s="4">
        <v>0</v>
      </c>
      <c r="J32" s="5">
        <v>90</v>
      </c>
      <c r="K32" s="4">
        <f t="shared" si="1"/>
        <v>0</v>
      </c>
      <c r="L32" s="4">
        <f t="shared" si="2"/>
        <v>2604</v>
      </c>
    </row>
    <row r="33" ht="18" customHeight="1" spans="1:12">
      <c r="A33" s="7">
        <v>31</v>
      </c>
      <c r="B33" s="4" t="s">
        <v>274</v>
      </c>
      <c r="C33" s="7">
        <v>846</v>
      </c>
      <c r="D33" s="7">
        <v>847</v>
      </c>
      <c r="E33" s="7">
        <v>847</v>
      </c>
      <c r="F33" s="7">
        <v>3</v>
      </c>
      <c r="G33" s="4">
        <f t="shared" si="0"/>
        <v>2541</v>
      </c>
      <c r="H33" s="4" t="s">
        <v>86</v>
      </c>
      <c r="I33" s="4">
        <v>0</v>
      </c>
      <c r="J33" s="4">
        <v>93</v>
      </c>
      <c r="K33" s="4">
        <f t="shared" si="1"/>
        <v>0</v>
      </c>
      <c r="L33" s="4">
        <f t="shared" si="2"/>
        <v>2541</v>
      </c>
    </row>
    <row r="34" ht="18" customHeight="1" spans="1:12">
      <c r="A34" s="4" t="s">
        <v>87</v>
      </c>
      <c r="B34" s="8"/>
      <c r="C34" s="7">
        <f>SUM(C3:C33)</f>
        <v>23929</v>
      </c>
      <c r="D34" s="7">
        <f>SUM(D3:D33)</f>
        <v>23935</v>
      </c>
      <c r="E34" s="7">
        <f>SUM(E3:E33)</f>
        <v>23935</v>
      </c>
      <c r="F34" s="7">
        <v>3</v>
      </c>
      <c r="G34" s="4">
        <f t="shared" si="0"/>
        <v>71805</v>
      </c>
      <c r="H34" s="7"/>
      <c r="I34" s="7"/>
      <c r="J34" s="8"/>
      <c r="K34" s="4">
        <f>SUM(K3:K33)</f>
        <v>15234</v>
      </c>
      <c r="L34" s="4">
        <f t="shared" si="2"/>
        <v>87039</v>
      </c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" sqref="F4"/>
    </sheetView>
  </sheetViews>
  <sheetFormatPr defaultColWidth="9" defaultRowHeight="13.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" sqref="F4"/>
    </sheetView>
  </sheetViews>
  <sheetFormatPr defaultColWidth="9" defaultRowHeight="13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" sqref="F4"/>
    </sheetView>
  </sheetViews>
  <sheetFormatPr defaultColWidth="9" defaultRowHeight="13.5"/>
  <sheetData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" sqref="F4"/>
    </sheetView>
  </sheetViews>
  <sheetFormatPr defaultColWidth="9" defaultRowHeight="13.5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5" workbookViewId="0">
      <selection activeCell="F4" sqref="F4"/>
    </sheetView>
  </sheetViews>
  <sheetFormatPr defaultColWidth="9" defaultRowHeight="13.5"/>
  <cols>
    <col min="1" max="1" width="10.7583333333333" customWidth="1"/>
    <col min="2" max="7" width="16.5" customWidth="1"/>
    <col min="8" max="8" width="9.625" customWidth="1"/>
    <col min="9" max="9" width="9.375" customWidth="1"/>
    <col min="10" max="10" width="8.625" customWidth="1"/>
    <col min="11" max="11" width="22.125" customWidth="1"/>
    <col min="12" max="12" width="20.7583333333333" customWidth="1"/>
    <col min="13" max="13" width="16.5" customWidth="1"/>
  </cols>
  <sheetData>
    <row r="1" ht="20.25" spans="1:12">
      <c r="A1" s="1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8" customHeight="1" spans="1:12">
      <c r="A2" s="4" t="s">
        <v>3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5" t="s">
        <v>21</v>
      </c>
      <c r="H2" s="6" t="s">
        <v>22</v>
      </c>
      <c r="I2" s="4"/>
      <c r="J2" s="4"/>
      <c r="K2" s="5" t="s">
        <v>23</v>
      </c>
      <c r="L2" s="4" t="s">
        <v>24</v>
      </c>
    </row>
    <row r="3" ht="18" customHeight="1" spans="1:12">
      <c r="A3" s="4">
        <v>1</v>
      </c>
      <c r="B3" s="4" t="s">
        <v>276</v>
      </c>
      <c r="C3" s="4"/>
      <c r="D3" s="4"/>
      <c r="E3" s="4"/>
      <c r="F3" s="4">
        <v>3</v>
      </c>
      <c r="G3" s="4">
        <f t="shared" ref="G3:G34" si="0">E3*F3</f>
        <v>0</v>
      </c>
      <c r="H3" s="4" t="s">
        <v>26</v>
      </c>
      <c r="I3" s="4"/>
      <c r="J3" s="5">
        <v>3</v>
      </c>
      <c r="K3" s="4"/>
      <c r="L3" s="4"/>
    </row>
    <row r="4" ht="18" customHeight="1" spans="1:12">
      <c r="A4" s="4">
        <v>2</v>
      </c>
      <c r="B4" s="4" t="s">
        <v>277</v>
      </c>
      <c r="C4" s="4"/>
      <c r="D4" s="4"/>
      <c r="E4" s="4"/>
      <c r="F4" s="7">
        <v>3</v>
      </c>
      <c r="G4" s="4">
        <f t="shared" si="0"/>
        <v>0</v>
      </c>
      <c r="H4" s="4" t="s">
        <v>28</v>
      </c>
      <c r="I4" s="4"/>
      <c r="J4" s="5">
        <v>6</v>
      </c>
      <c r="K4" s="4"/>
      <c r="L4" s="4"/>
    </row>
    <row r="5" ht="18" customHeight="1" spans="1:12">
      <c r="A5" s="4">
        <v>3</v>
      </c>
      <c r="B5" s="4" t="s">
        <v>278</v>
      </c>
      <c r="C5" s="4"/>
      <c r="D5" s="4"/>
      <c r="E5" s="4"/>
      <c r="F5" s="7">
        <v>3</v>
      </c>
      <c r="G5" s="4">
        <f t="shared" si="0"/>
        <v>0</v>
      </c>
      <c r="H5" s="4" t="s">
        <v>30</v>
      </c>
      <c r="I5" s="4"/>
      <c r="J5" s="5">
        <v>9</v>
      </c>
      <c r="K5" s="4"/>
      <c r="L5" s="4"/>
    </row>
    <row r="6" ht="18" customHeight="1" spans="1:12">
      <c r="A6" s="4">
        <v>4</v>
      </c>
      <c r="B6" s="4" t="s">
        <v>279</v>
      </c>
      <c r="C6" s="4"/>
      <c r="D6" s="4"/>
      <c r="E6" s="4"/>
      <c r="F6" s="7">
        <v>3</v>
      </c>
      <c r="G6" s="4">
        <f t="shared" si="0"/>
        <v>0</v>
      </c>
      <c r="H6" s="4" t="s">
        <v>32</v>
      </c>
      <c r="I6" s="4"/>
      <c r="J6" s="5">
        <v>12</v>
      </c>
      <c r="K6" s="4"/>
      <c r="L6" s="4"/>
    </row>
    <row r="7" ht="18" customHeight="1" spans="1:12">
      <c r="A7" s="4">
        <v>5</v>
      </c>
      <c r="B7" s="4" t="s">
        <v>280</v>
      </c>
      <c r="C7" s="4"/>
      <c r="D7" s="4"/>
      <c r="E7" s="4"/>
      <c r="F7" s="7">
        <v>3</v>
      </c>
      <c r="G7" s="4">
        <f t="shared" si="0"/>
        <v>0</v>
      </c>
      <c r="H7" s="4" t="s">
        <v>34</v>
      </c>
      <c r="I7" s="4"/>
      <c r="J7" s="5">
        <v>15</v>
      </c>
      <c r="K7" s="4"/>
      <c r="L7" s="4"/>
    </row>
    <row r="8" ht="18" customHeight="1" spans="1:12">
      <c r="A8" s="4">
        <v>6</v>
      </c>
      <c r="B8" s="4" t="s">
        <v>281</v>
      </c>
      <c r="C8" s="7"/>
      <c r="D8" s="7"/>
      <c r="E8" s="7"/>
      <c r="F8" s="7">
        <v>3</v>
      </c>
      <c r="G8" s="4">
        <f t="shared" si="0"/>
        <v>0</v>
      </c>
      <c r="H8" s="4" t="s">
        <v>36</v>
      </c>
      <c r="I8" s="4"/>
      <c r="J8" s="5">
        <v>18</v>
      </c>
      <c r="K8" s="4"/>
      <c r="L8" s="4"/>
    </row>
    <row r="9" ht="18" customHeight="1" spans="1:12">
      <c r="A9" s="4">
        <v>7</v>
      </c>
      <c r="B9" s="4" t="s">
        <v>282</v>
      </c>
      <c r="C9" s="7"/>
      <c r="D9" s="7"/>
      <c r="E9" s="7"/>
      <c r="F9" s="7">
        <v>3</v>
      </c>
      <c r="G9" s="4">
        <f t="shared" si="0"/>
        <v>0</v>
      </c>
      <c r="H9" s="4" t="s">
        <v>38</v>
      </c>
      <c r="I9" s="4"/>
      <c r="J9" s="5">
        <v>21</v>
      </c>
      <c r="K9" s="4"/>
      <c r="L9" s="4"/>
    </row>
    <row r="10" ht="18" customHeight="1" spans="1:12">
      <c r="A10" s="4">
        <v>8</v>
      </c>
      <c r="B10" s="4" t="s">
        <v>283</v>
      </c>
      <c r="C10" s="7"/>
      <c r="D10" s="7"/>
      <c r="E10" s="7"/>
      <c r="F10" s="7">
        <v>3</v>
      </c>
      <c r="G10" s="4">
        <f t="shared" si="0"/>
        <v>0</v>
      </c>
      <c r="H10" s="4" t="s">
        <v>40</v>
      </c>
      <c r="I10" s="4"/>
      <c r="J10" s="5">
        <v>24</v>
      </c>
      <c r="K10" s="4"/>
      <c r="L10" s="4"/>
    </row>
    <row r="11" ht="18" customHeight="1" spans="1:12">
      <c r="A11" s="4">
        <v>9</v>
      </c>
      <c r="B11" s="4" t="s">
        <v>284</v>
      </c>
      <c r="C11" s="7"/>
      <c r="D11" s="7"/>
      <c r="E11" s="7"/>
      <c r="F11" s="7">
        <v>3</v>
      </c>
      <c r="G11" s="4">
        <f t="shared" si="0"/>
        <v>0</v>
      </c>
      <c r="H11" s="4" t="s">
        <v>42</v>
      </c>
      <c r="I11" s="4"/>
      <c r="J11" s="5">
        <v>27</v>
      </c>
      <c r="K11" s="4"/>
      <c r="L11" s="4"/>
    </row>
    <row r="12" ht="18" customHeight="1" spans="1:12">
      <c r="A12" s="4">
        <v>10</v>
      </c>
      <c r="B12" s="4" t="s">
        <v>285</v>
      </c>
      <c r="C12" s="7"/>
      <c r="D12" s="7"/>
      <c r="E12" s="7"/>
      <c r="F12" s="7">
        <v>3</v>
      </c>
      <c r="G12" s="4">
        <f t="shared" si="0"/>
        <v>0</v>
      </c>
      <c r="H12" s="4" t="s">
        <v>44</v>
      </c>
      <c r="I12" s="4"/>
      <c r="J12" s="5">
        <v>30</v>
      </c>
      <c r="K12" s="4"/>
      <c r="L12" s="4"/>
    </row>
    <row r="13" ht="18" customHeight="1" spans="1:12">
      <c r="A13" s="4">
        <v>11</v>
      </c>
      <c r="B13" s="4" t="s">
        <v>286</v>
      </c>
      <c r="C13" s="7"/>
      <c r="D13" s="7"/>
      <c r="E13" s="7"/>
      <c r="F13" s="7">
        <v>3</v>
      </c>
      <c r="G13" s="4">
        <f t="shared" si="0"/>
        <v>0</v>
      </c>
      <c r="H13" s="4" t="s">
        <v>46</v>
      </c>
      <c r="I13" s="4"/>
      <c r="J13" s="5">
        <v>33</v>
      </c>
      <c r="K13" s="4"/>
      <c r="L13" s="4"/>
    </row>
    <row r="14" ht="18" customHeight="1" spans="1:12">
      <c r="A14" s="4">
        <v>12</v>
      </c>
      <c r="B14" s="4" t="s">
        <v>287</v>
      </c>
      <c r="C14" s="7"/>
      <c r="D14" s="7"/>
      <c r="E14" s="7"/>
      <c r="F14" s="7">
        <v>3</v>
      </c>
      <c r="G14" s="4">
        <f t="shared" si="0"/>
        <v>0</v>
      </c>
      <c r="H14" s="4" t="s">
        <v>48</v>
      </c>
      <c r="I14" s="4"/>
      <c r="J14" s="5">
        <v>36</v>
      </c>
      <c r="K14" s="4"/>
      <c r="L14" s="4"/>
    </row>
    <row r="15" ht="18" customHeight="1" spans="1:12">
      <c r="A15" s="4">
        <v>13</v>
      </c>
      <c r="B15" s="4" t="s">
        <v>288</v>
      </c>
      <c r="C15" s="7"/>
      <c r="D15" s="7"/>
      <c r="E15" s="7"/>
      <c r="F15" s="7">
        <v>3</v>
      </c>
      <c r="G15" s="4">
        <f t="shared" si="0"/>
        <v>0</v>
      </c>
      <c r="H15" s="4" t="s">
        <v>50</v>
      </c>
      <c r="I15" s="4"/>
      <c r="J15" s="5">
        <v>39</v>
      </c>
      <c r="K15" s="4"/>
      <c r="L15" s="4"/>
    </row>
    <row r="16" ht="18" customHeight="1" spans="1:12">
      <c r="A16" s="4">
        <v>14</v>
      </c>
      <c r="B16" s="4" t="s">
        <v>289</v>
      </c>
      <c r="C16" s="7"/>
      <c r="D16" s="7"/>
      <c r="E16" s="7"/>
      <c r="F16" s="7">
        <v>3</v>
      </c>
      <c r="G16" s="4">
        <f t="shared" si="0"/>
        <v>0</v>
      </c>
      <c r="H16" s="4" t="s">
        <v>52</v>
      </c>
      <c r="I16" s="4"/>
      <c r="J16" s="5">
        <v>42</v>
      </c>
      <c r="K16" s="4"/>
      <c r="L16" s="4"/>
    </row>
    <row r="17" ht="18" customHeight="1" spans="1:12">
      <c r="A17" s="4">
        <v>15</v>
      </c>
      <c r="B17" s="4" t="s">
        <v>290</v>
      </c>
      <c r="C17" s="7"/>
      <c r="D17" s="7"/>
      <c r="E17" s="7"/>
      <c r="F17" s="7">
        <v>3</v>
      </c>
      <c r="G17" s="4">
        <f t="shared" si="0"/>
        <v>0</v>
      </c>
      <c r="H17" s="4" t="s">
        <v>54</v>
      </c>
      <c r="I17" s="4"/>
      <c r="J17" s="5">
        <v>45</v>
      </c>
      <c r="K17" s="4"/>
      <c r="L17" s="4"/>
    </row>
    <row r="18" ht="18" customHeight="1" spans="1:12">
      <c r="A18" s="4">
        <v>16</v>
      </c>
      <c r="B18" s="4" t="s">
        <v>291</v>
      </c>
      <c r="C18" s="7"/>
      <c r="D18" s="7"/>
      <c r="E18" s="7"/>
      <c r="F18" s="7">
        <v>3</v>
      </c>
      <c r="G18" s="4">
        <f t="shared" si="0"/>
        <v>0</v>
      </c>
      <c r="H18" s="4" t="s">
        <v>56</v>
      </c>
      <c r="I18" s="4"/>
      <c r="J18" s="5">
        <v>48</v>
      </c>
      <c r="K18" s="4"/>
      <c r="L18" s="4"/>
    </row>
    <row r="19" ht="18" customHeight="1" spans="1:12">
      <c r="A19" s="4">
        <v>17</v>
      </c>
      <c r="B19" s="4" t="s">
        <v>292</v>
      </c>
      <c r="C19" s="7"/>
      <c r="D19" s="7"/>
      <c r="E19" s="7"/>
      <c r="F19" s="7">
        <v>3</v>
      </c>
      <c r="G19" s="4">
        <f t="shared" si="0"/>
        <v>0</v>
      </c>
      <c r="H19" s="4" t="s">
        <v>58</v>
      </c>
      <c r="I19" s="4"/>
      <c r="J19" s="5">
        <v>51</v>
      </c>
      <c r="K19" s="4"/>
      <c r="L19" s="4"/>
    </row>
    <row r="20" ht="18" customHeight="1" spans="1:12">
      <c r="A20" s="4">
        <v>18</v>
      </c>
      <c r="B20" s="4" t="s">
        <v>293</v>
      </c>
      <c r="C20" s="7"/>
      <c r="D20" s="7"/>
      <c r="E20" s="7"/>
      <c r="F20" s="7">
        <v>3</v>
      </c>
      <c r="G20" s="4">
        <f t="shared" si="0"/>
        <v>0</v>
      </c>
      <c r="H20" s="4" t="s">
        <v>60</v>
      </c>
      <c r="I20" s="4"/>
      <c r="J20" s="5">
        <v>54</v>
      </c>
      <c r="K20" s="4"/>
      <c r="L20" s="4"/>
    </row>
    <row r="21" ht="18" customHeight="1" spans="1:12">
      <c r="A21" s="4">
        <v>19</v>
      </c>
      <c r="B21" s="4" t="s">
        <v>294</v>
      </c>
      <c r="C21" s="7"/>
      <c r="D21" s="7"/>
      <c r="E21" s="7"/>
      <c r="F21" s="7">
        <v>3</v>
      </c>
      <c r="G21" s="4">
        <f t="shared" si="0"/>
        <v>0</v>
      </c>
      <c r="H21" s="4" t="s">
        <v>62</v>
      </c>
      <c r="I21" s="4"/>
      <c r="J21" s="5">
        <v>57</v>
      </c>
      <c r="K21" s="4"/>
      <c r="L21" s="4"/>
    </row>
    <row r="22" ht="18" customHeight="1" spans="1:12">
      <c r="A22" s="4">
        <v>20</v>
      </c>
      <c r="B22" s="4" t="s">
        <v>295</v>
      </c>
      <c r="C22" s="7"/>
      <c r="D22" s="7"/>
      <c r="E22" s="7"/>
      <c r="F22" s="7">
        <v>3</v>
      </c>
      <c r="G22" s="4">
        <f t="shared" si="0"/>
        <v>0</v>
      </c>
      <c r="H22" s="4" t="s">
        <v>64</v>
      </c>
      <c r="I22" s="4"/>
      <c r="J22" s="5">
        <v>60</v>
      </c>
      <c r="K22" s="4"/>
      <c r="L22" s="4"/>
    </row>
    <row r="23" ht="18" customHeight="1" spans="1:12">
      <c r="A23" s="4">
        <v>21</v>
      </c>
      <c r="B23" s="4" t="s">
        <v>296</v>
      </c>
      <c r="C23" s="7"/>
      <c r="D23" s="7"/>
      <c r="E23" s="7"/>
      <c r="F23" s="7">
        <v>3</v>
      </c>
      <c r="G23" s="4">
        <f t="shared" si="0"/>
        <v>0</v>
      </c>
      <c r="H23" s="4" t="s">
        <v>66</v>
      </c>
      <c r="I23" s="4"/>
      <c r="J23" s="5">
        <v>63</v>
      </c>
      <c r="K23" s="4"/>
      <c r="L23" s="4"/>
    </row>
    <row r="24" ht="18" customHeight="1" spans="1:12">
      <c r="A24" s="4">
        <v>22</v>
      </c>
      <c r="B24" s="4" t="s">
        <v>297</v>
      </c>
      <c r="C24" s="7"/>
      <c r="D24" s="7"/>
      <c r="E24" s="7"/>
      <c r="F24" s="7">
        <v>3</v>
      </c>
      <c r="G24" s="4">
        <f t="shared" si="0"/>
        <v>0</v>
      </c>
      <c r="H24" s="4" t="s">
        <v>68</v>
      </c>
      <c r="I24" s="4"/>
      <c r="J24" s="5">
        <v>66</v>
      </c>
      <c r="K24" s="4"/>
      <c r="L24" s="4"/>
    </row>
    <row r="25" ht="18" customHeight="1" spans="1:12">
      <c r="A25" s="4">
        <v>23</v>
      </c>
      <c r="B25" s="4" t="s">
        <v>298</v>
      </c>
      <c r="C25" s="7"/>
      <c r="D25" s="7"/>
      <c r="E25" s="7"/>
      <c r="F25" s="7">
        <v>3</v>
      </c>
      <c r="G25" s="4">
        <f t="shared" si="0"/>
        <v>0</v>
      </c>
      <c r="H25" s="4" t="s">
        <v>70</v>
      </c>
      <c r="I25" s="4"/>
      <c r="J25" s="5">
        <v>69</v>
      </c>
      <c r="K25" s="4"/>
      <c r="L25" s="4"/>
    </row>
    <row r="26" ht="18" customHeight="1" spans="1:12">
      <c r="A26" s="4">
        <v>24</v>
      </c>
      <c r="B26" s="4" t="s">
        <v>299</v>
      </c>
      <c r="C26" s="7"/>
      <c r="D26" s="7"/>
      <c r="E26" s="7"/>
      <c r="F26" s="7">
        <v>3</v>
      </c>
      <c r="G26" s="4">
        <f t="shared" si="0"/>
        <v>0</v>
      </c>
      <c r="H26" s="4" t="s">
        <v>72</v>
      </c>
      <c r="I26" s="4"/>
      <c r="J26" s="5">
        <v>72</v>
      </c>
      <c r="K26" s="4"/>
      <c r="L26" s="4"/>
    </row>
    <row r="27" ht="18" customHeight="1" spans="1:12">
      <c r="A27" s="4">
        <v>25</v>
      </c>
      <c r="B27" s="4" t="s">
        <v>300</v>
      </c>
      <c r="C27" s="7"/>
      <c r="D27" s="7"/>
      <c r="E27" s="7"/>
      <c r="F27" s="7">
        <v>3</v>
      </c>
      <c r="G27" s="4">
        <f t="shared" si="0"/>
        <v>0</v>
      </c>
      <c r="H27" s="4" t="s">
        <v>74</v>
      </c>
      <c r="I27" s="4"/>
      <c r="J27" s="5">
        <v>75</v>
      </c>
      <c r="K27" s="4"/>
      <c r="L27" s="4"/>
    </row>
    <row r="28" ht="18" customHeight="1" spans="1:12">
      <c r="A28" s="4">
        <v>26</v>
      </c>
      <c r="B28" s="4" t="s">
        <v>301</v>
      </c>
      <c r="C28" s="7"/>
      <c r="D28" s="7"/>
      <c r="E28" s="7"/>
      <c r="F28" s="7">
        <v>3</v>
      </c>
      <c r="G28" s="4">
        <f t="shared" si="0"/>
        <v>0</v>
      </c>
      <c r="H28" s="4" t="s">
        <v>76</v>
      </c>
      <c r="I28" s="4"/>
      <c r="J28" s="5">
        <v>78</v>
      </c>
      <c r="K28" s="4"/>
      <c r="L28" s="4"/>
    </row>
    <row r="29" ht="18" customHeight="1" spans="1:12">
      <c r="A29" s="4">
        <v>27</v>
      </c>
      <c r="B29" s="4" t="s">
        <v>302</v>
      </c>
      <c r="C29" s="7"/>
      <c r="D29" s="7"/>
      <c r="E29" s="7"/>
      <c r="F29" s="7">
        <v>3</v>
      </c>
      <c r="G29" s="4">
        <f t="shared" si="0"/>
        <v>0</v>
      </c>
      <c r="H29" s="4" t="s">
        <v>78</v>
      </c>
      <c r="I29" s="4"/>
      <c r="J29" s="5">
        <v>81</v>
      </c>
      <c r="K29" s="4"/>
      <c r="L29" s="4"/>
    </row>
    <row r="30" ht="18" customHeight="1" spans="1:12">
      <c r="A30" s="4">
        <v>28</v>
      </c>
      <c r="B30" s="4" t="s">
        <v>303</v>
      </c>
      <c r="C30" s="7"/>
      <c r="D30" s="7"/>
      <c r="E30" s="7"/>
      <c r="F30" s="7">
        <v>3</v>
      </c>
      <c r="G30" s="4">
        <f t="shared" si="0"/>
        <v>0</v>
      </c>
      <c r="H30" s="4" t="s">
        <v>80</v>
      </c>
      <c r="I30" s="4"/>
      <c r="J30" s="5">
        <v>84</v>
      </c>
      <c r="K30" s="4"/>
      <c r="L30" s="4"/>
    </row>
    <row r="31" ht="18" customHeight="1" spans="1:12">
      <c r="A31" s="4">
        <v>29</v>
      </c>
      <c r="B31" s="4" t="s">
        <v>304</v>
      </c>
      <c r="C31" s="7"/>
      <c r="D31" s="7"/>
      <c r="E31" s="7"/>
      <c r="F31" s="7">
        <v>3</v>
      </c>
      <c r="G31" s="4">
        <f t="shared" si="0"/>
        <v>0</v>
      </c>
      <c r="H31" s="4" t="s">
        <v>82</v>
      </c>
      <c r="I31" s="4"/>
      <c r="J31" s="5">
        <v>87</v>
      </c>
      <c r="K31" s="4"/>
      <c r="L31" s="4"/>
    </row>
    <row r="32" ht="18" customHeight="1" spans="1:12">
      <c r="A32" s="4">
        <v>30</v>
      </c>
      <c r="B32" s="4" t="s">
        <v>305</v>
      </c>
      <c r="C32" s="7"/>
      <c r="D32" s="7"/>
      <c r="E32" s="7"/>
      <c r="F32" s="7">
        <v>3</v>
      </c>
      <c r="G32" s="4">
        <f t="shared" si="0"/>
        <v>0</v>
      </c>
      <c r="H32" s="4" t="s">
        <v>84</v>
      </c>
      <c r="I32" s="4"/>
      <c r="J32" s="5">
        <v>90</v>
      </c>
      <c r="K32" s="4"/>
      <c r="L32" s="4"/>
    </row>
    <row r="33" ht="18" customHeight="1" spans="1:12">
      <c r="A33" s="7">
        <v>31</v>
      </c>
      <c r="B33" s="4" t="s">
        <v>306</v>
      </c>
      <c r="C33" s="7"/>
      <c r="D33" s="7"/>
      <c r="E33" s="7"/>
      <c r="F33" s="7">
        <v>3</v>
      </c>
      <c r="G33" s="4">
        <f t="shared" si="0"/>
        <v>0</v>
      </c>
      <c r="H33" s="4" t="s">
        <v>86</v>
      </c>
      <c r="I33" s="4"/>
      <c r="J33" s="4">
        <v>93</v>
      </c>
      <c r="K33" s="4"/>
      <c r="L33" s="4"/>
    </row>
    <row r="34" ht="18" customHeight="1" spans="1:12">
      <c r="A34" s="4" t="s">
        <v>87</v>
      </c>
      <c r="B34" s="8"/>
      <c r="C34" s="7"/>
      <c r="D34" s="7"/>
      <c r="E34" s="7"/>
      <c r="F34" s="7">
        <v>3</v>
      </c>
      <c r="G34" s="4">
        <f t="shared" si="0"/>
        <v>0</v>
      </c>
      <c r="H34" s="7"/>
      <c r="I34" s="7"/>
      <c r="J34" s="8"/>
      <c r="K34" s="4"/>
      <c r="L34" s="4"/>
    </row>
  </sheetData>
  <mergeCells count="3">
    <mergeCell ref="A1:L1"/>
    <mergeCell ref="H2:J2"/>
    <mergeCell ref="H34:J34"/>
  </mergeCells>
  <pageMargins left="0.75" right="0.75" top="1" bottom="1" header="0.5" footer="0.5"/>
  <pageSetup paperSize="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汇总</vt:lpstr>
      <vt:lpstr>2026年1月份</vt:lpstr>
      <vt:lpstr>2026年2月份</vt:lpstr>
      <vt:lpstr>2026年3月份</vt:lpstr>
      <vt:lpstr>2026年4月份</vt:lpstr>
      <vt:lpstr>2026年5月份</vt:lpstr>
      <vt:lpstr>2026年6月份</vt:lpstr>
      <vt:lpstr>2026年7月份</vt:lpstr>
      <vt:lpstr>2026年8月份</vt:lpstr>
      <vt:lpstr>2026年9月份</vt:lpstr>
      <vt:lpstr>2026年10月份</vt:lpstr>
      <vt:lpstr>2026年11月份</vt:lpstr>
      <vt:lpstr>2026年12月份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WPS_1759144756</cp:lastModifiedBy>
  <dcterms:created xsi:type="dcterms:W3CDTF">2023-05-12T11:15:00Z</dcterms:created>
  <dcterms:modified xsi:type="dcterms:W3CDTF">2026-08-07T00:18:00Z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BB97ED7E0F324BC5B698CC0D2DEBB23F_13</vt:lpwstr>
  </property>
  <property fmtid="{D5CDD505-2E9C-101B-9397-08002B2CF9AE}" pid="4" name="CalculationRule">
    <vt:i4>0</vt:i4>
  </property>
</Properties>
</file>